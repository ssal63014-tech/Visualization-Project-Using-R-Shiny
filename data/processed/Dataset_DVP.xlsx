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onash\Semester 2\FIT5147 Data Exp and Vis\Assessment\ASS1\"/>
    </mc:Choice>
  </mc:AlternateContent>
  <xr:revisionPtr revIDLastSave="0" documentId="13_ncr:1_{4541E922-D14B-4D1F-93A4-4363109BC98B}" xr6:coauthVersionLast="47" xr6:coauthVersionMax="47" xr10:uidLastSave="{00000000-0000-0000-0000-000000000000}"/>
  <bookViews>
    <workbookView xWindow="-110" yWindow="-110" windowWidth="24220" windowHeight="15500" xr2:uid="{4353E34C-5423-486E-AE28-FF8A6D4FAAD8}"/>
  </bookViews>
  <sheets>
    <sheet name="Enterprises Classifications" sheetId="1" r:id="rId1"/>
    <sheet name="Industry Origin" sheetId="3" r:id="rId2"/>
    <sheet name="Inflation" sheetId="5" r:id="rId3"/>
    <sheet name="Financial Inclusion" sheetId="6" r:id="rId4"/>
  </sheets>
  <definedNames>
    <definedName name="_xlnm._FilterDatabase" localSheetId="1" hidden="1">'Industry Origin'!$A$1:$E$91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3" l="1"/>
  <c r="D91" i="3"/>
  <c r="D81" i="3"/>
  <c r="D71" i="3"/>
  <c r="D61" i="3"/>
  <c r="D51" i="3"/>
  <c r="D41" i="3"/>
  <c r="D31" i="3"/>
  <c r="E38" i="3"/>
  <c r="E52" i="3" s="1"/>
  <c r="E34" i="3"/>
  <c r="E53" i="3" s="1"/>
  <c r="E33" i="3"/>
  <c r="E32" i="3"/>
  <c r="E46" i="3" s="1"/>
  <c r="E26" i="3"/>
  <c r="E23" i="3"/>
  <c r="E25" i="3" l="1"/>
  <c r="E49" i="3" s="1"/>
  <c r="E74" i="3"/>
  <c r="E47" i="3"/>
  <c r="E31" i="3" s="1"/>
  <c r="E66" i="3"/>
  <c r="E35" i="3"/>
  <c r="E28" i="3" l="1"/>
  <c r="E42" i="3" s="1"/>
  <c r="E64" i="3" s="1"/>
  <c r="E83" i="3" s="1"/>
  <c r="E39" i="3"/>
  <c r="E27" i="3"/>
  <c r="E48" i="3" s="1"/>
  <c r="E62" i="3" l="1"/>
  <c r="E84" i="3" s="1"/>
  <c r="E54" i="3" s="1"/>
  <c r="E73" i="3" s="1"/>
  <c r="E41" i="3"/>
  <c r="E24" i="3" s="1"/>
  <c r="E55" i="3"/>
  <c r="E56" i="3"/>
  <c r="E67" i="3" l="1"/>
  <c r="E79" i="3"/>
  <c r="E43" i="3"/>
  <c r="E29" i="3"/>
  <c r="E45" i="3" s="1"/>
  <c r="E87" i="3"/>
  <c r="E69" i="3" l="1"/>
  <c r="E61" i="3"/>
  <c r="E76" i="3" s="1"/>
  <c r="E68" i="3"/>
  <c r="E82" i="3" s="1"/>
  <c r="E22" i="3"/>
  <c r="E36" i="3" s="1"/>
  <c r="E44" i="3"/>
  <c r="E63" i="3" s="1"/>
  <c r="E37" i="3"/>
  <c r="E58" i="3" s="1"/>
  <c r="E72" i="3" s="1"/>
  <c r="E86" i="3" s="1"/>
  <c r="E40" i="3"/>
  <c r="E60" i="3" s="1"/>
  <c r="E80" i="3" s="1"/>
  <c r="E30" i="3"/>
  <c r="E50" i="3" s="1"/>
  <c r="E70" i="3" s="1"/>
  <c r="E90" i="3" s="1"/>
  <c r="E57" i="3" l="1"/>
  <c r="E88" i="3"/>
  <c r="E77" i="3"/>
  <c r="E59" i="3"/>
  <c r="E75" i="3" s="1"/>
  <c r="E51" i="3"/>
  <c r="E65" i="3" s="1"/>
  <c r="E78" i="3" l="1"/>
  <c r="E91" i="3" s="1"/>
  <c r="E71" i="3"/>
  <c r="E85" i="3" s="1"/>
  <c r="E89" i="3"/>
  <c r="E81" i="3"/>
</calcChain>
</file>

<file path=xl/sharedStrings.xml><?xml version="1.0" encoding="utf-8"?>
<sst xmlns="http://schemas.openxmlformats.org/spreadsheetml/2006/main" count="191" uniqueCount="36">
  <si>
    <t>Year</t>
  </si>
  <si>
    <t>Accomodation, Food and Beverage Services</t>
  </si>
  <si>
    <t>Small</t>
  </si>
  <si>
    <t>Medium</t>
  </si>
  <si>
    <t>Micro</t>
  </si>
  <si>
    <t>Total Outstanding Credit (Billions of Rp)</t>
  </si>
  <si>
    <t>Number of Account (in Millions)</t>
  </si>
  <si>
    <t>Ratio Account Credit to Account Total Credit (%)</t>
  </si>
  <si>
    <t>Average Outstanding Credit per Account (in Millions of Rp)</t>
  </si>
  <si>
    <t>Growth of Credits (%, yoy)</t>
  </si>
  <si>
    <t>NPL Credit (%)</t>
  </si>
  <si>
    <t>Total of Outstanding Amount (Billions of Rp)</t>
  </si>
  <si>
    <t>Growth of Credit (%, yoy)</t>
  </si>
  <si>
    <t>GDP Deflator (%)</t>
  </si>
  <si>
    <t>Inflation rate</t>
  </si>
  <si>
    <t xml:space="preserve"> Enterprises Classifications</t>
  </si>
  <si>
    <t xml:space="preserve">Wholesale and Retail  </t>
  </si>
  <si>
    <t xml:space="preserve">Manufacturing  </t>
  </si>
  <si>
    <t xml:space="preserve">Agriculture, Hunting and Forestry  </t>
  </si>
  <si>
    <t xml:space="preserve">Transportation, Storage and Communication  </t>
  </si>
  <si>
    <t xml:space="preserve">Financial Intermediary </t>
  </si>
  <si>
    <t xml:space="preserve">Real Estate, Leasing and Business Services </t>
  </si>
  <si>
    <t xml:space="preserve">Construction, Mining, and Quarrying  </t>
  </si>
  <si>
    <t xml:space="preserve">Electricity, Gas and Water  </t>
  </si>
  <si>
    <t xml:space="preserve">Others  </t>
  </si>
  <si>
    <t>Main Factor Loan Recipients</t>
  </si>
  <si>
    <t>Region</t>
  </si>
  <si>
    <t>Sumatera</t>
  </si>
  <si>
    <t>Jawa</t>
  </si>
  <si>
    <t>Bali &amp; Nusa Tenggara</t>
  </si>
  <si>
    <t>Kalimantan</t>
  </si>
  <si>
    <t>Sulawesi</t>
  </si>
  <si>
    <t>Maluku &amp; Papua</t>
  </si>
  <si>
    <t>Number of Digital Financial Service Agent (unit)</t>
  </si>
  <si>
    <t>Total Adults (Million People)</t>
  </si>
  <si>
    <t>Number of Account Registered Money Electronic at Digital Financial Service Agent (Millions of Account)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</si>
</sst>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#,##0\ "/>
    <numFmt numFmtId="166" formatCode="#,##0.0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Frutiger 45 Light"/>
    </font>
    <font>
      <sz val="10"/>
      <name val="Arial"/>
      <family val="2"/>
    </font>
    <font>
      <sz val="11"/>
      <color theme="1"/>
      <name val="Frutiger 45 Light"/>
    </font>
    <font>
      <sz val="10"/>
      <name val="Frutiger 45 Light"/>
    </font>
    <font>
      <sz val="11"/>
      <color theme="1"/>
      <name val="Frutiger 45"/>
    </font>
    <font>
      <sz val="11"/>
      <color indexed="8"/>
      <name val="Frutiger 45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42">
    <xf numFmtId="0" fontId="0" fillId="0" borderId="0" xfId="0"/>
    <xf numFmtId="1" fontId="0" fillId="0" borderId="0" xfId="0" applyNumberFormat="1"/>
    <xf numFmtId="0" fontId="0" fillId="0" borderId="0" xfId="0" applyAlignment="1">
      <alignment vertical="center" wrapText="1"/>
    </xf>
    <xf numFmtId="3" fontId="2" fillId="0" borderId="1" xfId="1" applyNumberFormat="1" applyFont="1" applyFill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4" fontId="2" fillId="0" borderId="1" xfId="1" applyNumberFormat="1" applyFont="1" applyFill="1" applyBorder="1" applyAlignment="1">
      <alignment horizontal="right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4" fontId="5" fillId="0" borderId="1" xfId="3" applyNumberFormat="1" applyFont="1" applyBorder="1"/>
    <xf numFmtId="0" fontId="5" fillId="0" borderId="1" xfId="3" applyFont="1" applyBorder="1"/>
    <xf numFmtId="3" fontId="2" fillId="0" borderId="1" xfId="1" applyNumberFormat="1" applyFont="1" applyFill="1" applyBorder="1" applyAlignment="1">
      <alignment horizontal="right" vertical="center"/>
    </xf>
    <xf numFmtId="2" fontId="4" fillId="0" borderId="1" xfId="0" applyNumberFormat="1" applyFont="1" applyBorder="1"/>
    <xf numFmtId="3" fontId="2" fillId="0" borderId="1" xfId="2" quotePrefix="1" applyNumberFormat="1" applyFont="1" applyFill="1" applyBorder="1" applyAlignment="1">
      <alignment horizontal="right" vertical="center" wrapText="1"/>
    </xf>
    <xf numFmtId="165" fontId="2" fillId="0" borderId="1" xfId="2" quotePrefix="1" applyNumberFormat="1" applyFont="1" applyFill="1" applyBorder="1" applyAlignment="1">
      <alignment horizontal="right" vertical="center" wrapText="1"/>
    </xf>
    <xf numFmtId="164" fontId="2" fillId="0" borderId="1" xfId="1" quotePrefix="1" applyNumberFormat="1" applyFont="1" applyFill="1" applyBorder="1" applyAlignment="1">
      <alignment horizontal="right" vertical="center" wrapText="1"/>
    </xf>
    <xf numFmtId="4" fontId="2" fillId="0" borderId="1" xfId="2" quotePrefix="1" applyNumberFormat="1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indent="6"/>
    </xf>
    <xf numFmtId="3" fontId="2" fillId="0" borderId="1" xfId="2" applyNumberFormat="1" applyFont="1" applyFill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/>
    </xf>
    <xf numFmtId="0" fontId="4" fillId="0" borderId="1" xfId="0" applyFont="1" applyBorder="1"/>
    <xf numFmtId="4" fontId="2" fillId="0" borderId="1" xfId="1" applyNumberFormat="1" applyFont="1" applyFill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 wrapText="1"/>
    </xf>
    <xf numFmtId="164" fontId="2" fillId="0" borderId="1" xfId="1" applyNumberFormat="1" applyFont="1" applyFill="1" applyBorder="1" applyAlignment="1">
      <alignment horizontal="right" vertical="center" wrapText="1"/>
    </xf>
    <xf numFmtId="43" fontId="2" fillId="0" borderId="1" xfId="1" quotePrefix="1" applyFont="1" applyFill="1" applyBorder="1" applyAlignment="1">
      <alignment horizontal="right" vertical="center" wrapText="1"/>
    </xf>
    <xf numFmtId="43" fontId="2" fillId="0" borderId="1" xfId="1" applyFont="1" applyFill="1" applyBorder="1" applyAlignment="1">
      <alignment horizontal="right" vertical="center"/>
    </xf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 wrapText="1"/>
    </xf>
    <xf numFmtId="3" fontId="2" fillId="0" borderId="1" xfId="1" quotePrefix="1" applyNumberFormat="1" applyFont="1" applyFill="1" applyBorder="1" applyAlignment="1">
      <alignment horizontal="right" vertical="center"/>
    </xf>
    <xf numFmtId="4" fontId="2" fillId="0" borderId="1" xfId="1" quotePrefix="1" applyNumberFormat="1" applyFont="1" applyFill="1" applyBorder="1" applyAlignment="1">
      <alignment horizontal="right" vertical="center"/>
    </xf>
    <xf numFmtId="4" fontId="2" fillId="0" borderId="1" xfId="0" quotePrefix="1" applyNumberFormat="1" applyFont="1" applyBorder="1" applyAlignment="1">
      <alignment horizontal="right" vertical="center"/>
    </xf>
    <xf numFmtId="3" fontId="2" fillId="0" borderId="1" xfId="0" quotePrefix="1" applyNumberFormat="1" applyFont="1" applyBorder="1" applyAlignment="1">
      <alignment horizontal="right" vertical="center"/>
    </xf>
    <xf numFmtId="164" fontId="2" fillId="0" borderId="1" xfId="1" quotePrefix="1" applyNumberFormat="1" applyFont="1" applyFill="1" applyBorder="1" applyAlignment="1">
      <alignment horizontal="right" vertical="center"/>
    </xf>
    <xf numFmtId="2" fontId="2" fillId="0" borderId="1" xfId="0" quotePrefix="1" applyNumberFormat="1" applyFont="1" applyBorder="1" applyAlignment="1">
      <alignment horizontal="right" vertical="center"/>
    </xf>
    <xf numFmtId="164" fontId="2" fillId="0" borderId="1" xfId="1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center"/>
    </xf>
    <xf numFmtId="166" fontId="7" fillId="0" borderId="1" xfId="3" applyNumberFormat="1" applyFont="1" applyBorder="1" applyAlignment="1" applyProtection="1">
      <alignment horizontal="center" vertical="center" wrapText="1" readingOrder="1"/>
      <protection locked="0"/>
    </xf>
  </cellXfs>
  <cellStyles count="4">
    <cellStyle name="Comma" xfId="1" builtinId="3"/>
    <cellStyle name="Normal" xfId="0" builtinId="0"/>
    <cellStyle name="Normal 2" xfId="3" xr:uid="{85FDC1F4-BD6E-4891-A913-7B9ABB85EB3C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82B6C-DDE8-4612-B09B-3B7A24A04FA7}">
  <dimension ref="A1:H30"/>
  <sheetViews>
    <sheetView tabSelected="1" workbookViewId="0">
      <selection activeCell="K24" sqref="K24"/>
    </sheetView>
  </sheetViews>
  <sheetFormatPr defaultRowHeight="14.5"/>
  <cols>
    <col min="1" max="1" width="17.08984375" customWidth="1"/>
    <col min="2" max="2" width="29.90625" customWidth="1"/>
    <col min="3" max="3" width="18.6328125" customWidth="1"/>
    <col min="4" max="4" width="16.08984375" customWidth="1"/>
    <col min="5" max="5" width="21.36328125" customWidth="1"/>
    <col min="6" max="6" width="18.08984375" customWidth="1"/>
    <col min="7" max="7" width="14.453125" customWidth="1"/>
    <col min="8" max="8" width="12.90625" customWidth="1"/>
  </cols>
  <sheetData>
    <row r="1" spans="1:8" s="2" customFormat="1" ht="56">
      <c r="A1" s="8" t="s">
        <v>0</v>
      </c>
      <c r="B1" s="7" t="s">
        <v>15</v>
      </c>
      <c r="C1" s="8" t="s">
        <v>5</v>
      </c>
      <c r="D1" s="8" t="s">
        <v>6</v>
      </c>
      <c r="E1" s="7" t="s">
        <v>7</v>
      </c>
      <c r="F1" s="8" t="s">
        <v>8</v>
      </c>
      <c r="G1" s="8" t="s">
        <v>9</v>
      </c>
      <c r="H1" s="7" t="s">
        <v>10</v>
      </c>
    </row>
    <row r="2" spans="1:8">
      <c r="A2" s="21">
        <v>2016</v>
      </c>
      <c r="B2" s="21" t="s">
        <v>4</v>
      </c>
      <c r="C2" s="3">
        <v>195621</v>
      </c>
      <c r="D2" s="4">
        <v>11.747211</v>
      </c>
      <c r="E2" s="4">
        <v>86.12</v>
      </c>
      <c r="F2" s="4">
        <v>16.649999999999999</v>
      </c>
      <c r="G2" s="4">
        <v>10.8887150533977</v>
      </c>
      <c r="H2" s="4">
        <v>2.1</v>
      </c>
    </row>
    <row r="3" spans="1:8">
      <c r="A3" s="21">
        <v>2016</v>
      </c>
      <c r="B3" s="21" t="s">
        <v>2</v>
      </c>
      <c r="C3" s="3">
        <v>255518</v>
      </c>
      <c r="D3" s="4">
        <v>1.5480989999999999</v>
      </c>
      <c r="E3" s="4">
        <v>11.35</v>
      </c>
      <c r="F3" s="19">
        <v>165.05</v>
      </c>
      <c r="G3" s="4">
        <v>11.080293874711995</v>
      </c>
      <c r="H3" s="4">
        <v>4.3</v>
      </c>
    </row>
    <row r="4" spans="1:8">
      <c r="A4" s="21">
        <v>2016</v>
      </c>
      <c r="B4" s="21" t="s">
        <v>3</v>
      </c>
      <c r="C4" s="3">
        <v>405859</v>
      </c>
      <c r="D4" s="4">
        <v>0.34446900000000003</v>
      </c>
      <c r="E4" s="4">
        <v>2.5299999999999998</v>
      </c>
      <c r="F4" s="3">
        <v>1178.22</v>
      </c>
      <c r="G4" s="4">
        <v>5.6855673458759188</v>
      </c>
      <c r="H4" s="4">
        <v>5.0599999999999996</v>
      </c>
    </row>
    <row r="5" spans="1:8">
      <c r="A5" s="21">
        <v>2017</v>
      </c>
      <c r="B5" s="21" t="s">
        <v>4</v>
      </c>
      <c r="C5" s="12">
        <v>221408.758</v>
      </c>
      <c r="D5" s="5">
        <v>12.238441999999999</v>
      </c>
      <c r="E5" s="5">
        <v>85.93</v>
      </c>
      <c r="F5" s="22">
        <v>18.09</v>
      </c>
      <c r="G5" s="5">
        <v>13.182510057713642</v>
      </c>
      <c r="H5" s="20">
        <v>2.0099999999999998</v>
      </c>
    </row>
    <row r="6" spans="1:8">
      <c r="A6" s="21">
        <v>2017</v>
      </c>
      <c r="B6" s="21" t="s">
        <v>2</v>
      </c>
      <c r="C6" s="12">
        <v>282774.038</v>
      </c>
      <c r="D6" s="5">
        <v>1.674917</v>
      </c>
      <c r="E6" s="5">
        <v>11.76</v>
      </c>
      <c r="F6" s="12">
        <v>168.83</v>
      </c>
      <c r="G6" s="5">
        <v>10.666973755273601</v>
      </c>
      <c r="H6" s="20">
        <v>4.13</v>
      </c>
    </row>
    <row r="7" spans="1:8">
      <c r="A7" s="21">
        <v>2017</v>
      </c>
      <c r="B7" s="21" t="s">
        <v>3</v>
      </c>
      <c r="C7" s="12">
        <v>438204.76400000002</v>
      </c>
      <c r="D7" s="23">
        <v>0.32821099999999997</v>
      </c>
      <c r="E7" s="5">
        <v>2.2999999999999998</v>
      </c>
      <c r="F7" s="12">
        <v>1335.13</v>
      </c>
      <c r="G7" s="5">
        <v>7.9697047496790825</v>
      </c>
      <c r="H7" s="20">
        <v>5.1100000000000003</v>
      </c>
    </row>
    <row r="8" spans="1:8">
      <c r="A8" s="21">
        <v>2018</v>
      </c>
      <c r="B8" s="21" t="s">
        <v>4</v>
      </c>
      <c r="C8" s="14">
        <v>251336.14600000001</v>
      </c>
      <c r="D8" s="17">
        <v>12.446652</v>
      </c>
      <c r="E8" s="17">
        <v>85.122174286421043</v>
      </c>
      <c r="F8" s="17">
        <v>20.19307248246356</v>
      </c>
      <c r="G8" s="5">
        <v>13.516804064272836</v>
      </c>
      <c r="H8" s="20">
        <v>1.74</v>
      </c>
    </row>
    <row r="9" spans="1:8">
      <c r="A9" s="21">
        <v>2018</v>
      </c>
      <c r="B9" s="21" t="s">
        <v>2</v>
      </c>
      <c r="C9" s="14">
        <v>312069.30800000002</v>
      </c>
      <c r="D9" s="17">
        <v>1.8404130000000001</v>
      </c>
      <c r="E9" s="17">
        <v>12.586513718307144</v>
      </c>
      <c r="F9" s="14">
        <v>169.56482485181314</v>
      </c>
      <c r="G9" s="5">
        <v>10.359957444183761</v>
      </c>
      <c r="H9" s="20">
        <v>3.74</v>
      </c>
    </row>
    <row r="10" spans="1:8">
      <c r="A10" s="21">
        <v>2018</v>
      </c>
      <c r="B10" s="21" t="s">
        <v>3</v>
      </c>
      <c r="C10" s="14">
        <v>469237.48200000002</v>
      </c>
      <c r="D10" s="17">
        <v>0.335038</v>
      </c>
      <c r="E10" s="17">
        <v>2.2913119952718155</v>
      </c>
      <c r="F10" s="14">
        <v>1400.5500331305702</v>
      </c>
      <c r="G10" s="5">
        <v>7.0817847156038658</v>
      </c>
      <c r="H10" s="20">
        <v>4.1500000000000004</v>
      </c>
    </row>
    <row r="11" spans="1:8">
      <c r="A11" s="21">
        <v>2019</v>
      </c>
      <c r="B11" s="21" t="s">
        <v>4</v>
      </c>
      <c r="C11" s="14">
        <v>283703.50400000002</v>
      </c>
      <c r="D11" s="17">
        <v>13.438375000000001</v>
      </c>
      <c r="E11" s="17">
        <v>84.400515558579158</v>
      </c>
      <c r="F11" s="17">
        <v>21.111444203633251</v>
      </c>
      <c r="G11" s="5">
        <v>12.878115032447424</v>
      </c>
      <c r="H11" s="20">
        <v>1.79</v>
      </c>
    </row>
    <row r="12" spans="1:8">
      <c r="A12" s="21">
        <v>2019</v>
      </c>
      <c r="B12" s="21" t="s">
        <v>2</v>
      </c>
      <c r="C12" s="14">
        <v>343792.26400000002</v>
      </c>
      <c r="D12" s="17">
        <v>2.1458349999999999</v>
      </c>
      <c r="E12" s="17">
        <v>13.477044680152449</v>
      </c>
      <c r="F12" s="14">
        <v>160.21374616408065</v>
      </c>
      <c r="G12" s="5">
        <v>10.165355959965151</v>
      </c>
      <c r="H12" s="20">
        <v>3.52</v>
      </c>
    </row>
    <row r="13" spans="1:8">
      <c r="A13" s="21">
        <v>2019</v>
      </c>
      <c r="B13" s="21" t="s">
        <v>3</v>
      </c>
      <c r="C13" s="14">
        <v>483844.016</v>
      </c>
      <c r="D13" s="17">
        <v>0.33793800000000002</v>
      </c>
      <c r="E13" s="17">
        <v>2.1224397612683918</v>
      </c>
      <c r="F13" s="14">
        <v>1431.7538009930813</v>
      </c>
      <c r="G13" s="5">
        <v>3.1128233698943903</v>
      </c>
      <c r="H13" s="20">
        <v>4.7300000000000004</v>
      </c>
    </row>
    <row r="14" spans="1:8">
      <c r="A14" s="21">
        <v>2020</v>
      </c>
      <c r="B14" s="21" t="s">
        <v>4</v>
      </c>
      <c r="C14" s="24">
        <v>247176.361</v>
      </c>
      <c r="D14" s="17">
        <v>11.579094</v>
      </c>
      <c r="E14" s="5">
        <v>72.483054351896328</v>
      </c>
      <c r="F14" s="5">
        <v>21.346779031243724</v>
      </c>
      <c r="G14" s="5">
        <v>-12.875111687023791</v>
      </c>
      <c r="H14" s="22">
        <v>1.87</v>
      </c>
    </row>
    <row r="15" spans="1:8">
      <c r="A15" s="21">
        <v>2020</v>
      </c>
      <c r="B15" s="21" t="s">
        <v>2</v>
      </c>
      <c r="C15" s="24">
        <v>353125.13699999999</v>
      </c>
      <c r="D15" s="17">
        <v>2.101925</v>
      </c>
      <c r="E15" s="5">
        <v>13.157673995790145</v>
      </c>
      <c r="F15" s="24">
        <v>168.00082638533723</v>
      </c>
      <c r="G15" s="5">
        <v>2.7146838301166554</v>
      </c>
      <c r="H15" s="22">
        <v>3.51</v>
      </c>
    </row>
    <row r="16" spans="1:8">
      <c r="A16" s="21">
        <v>2020</v>
      </c>
      <c r="B16" s="21" t="s">
        <v>3</v>
      </c>
      <c r="C16" s="24">
        <v>490930.88099999999</v>
      </c>
      <c r="D16" s="17">
        <v>2.293879</v>
      </c>
      <c r="E16" s="5">
        <v>14.359271652313524</v>
      </c>
      <c r="F16" s="24">
        <v>214.01777556706347</v>
      </c>
      <c r="G16" s="5">
        <v>1.4647003508667948</v>
      </c>
      <c r="H16" s="22">
        <v>5.31</v>
      </c>
    </row>
    <row r="17" spans="1:8">
      <c r="A17" s="21">
        <v>2021</v>
      </c>
      <c r="B17" s="21" t="s">
        <v>4</v>
      </c>
      <c r="C17" s="16">
        <v>389895</v>
      </c>
      <c r="D17" s="17">
        <v>30.631117</v>
      </c>
      <c r="E17" s="17">
        <v>91.537993187407025</v>
      </c>
      <c r="F17" s="25">
        <v>12.728722886599272</v>
      </c>
      <c r="G17" s="17">
        <v>57.739598731288055</v>
      </c>
      <c r="H17" s="17">
        <v>2.1800000000000002</v>
      </c>
    </row>
    <row r="18" spans="1:8">
      <c r="A18" s="21">
        <v>2021</v>
      </c>
      <c r="B18" s="21" t="s">
        <v>2</v>
      </c>
      <c r="C18" s="16">
        <v>459744</v>
      </c>
      <c r="D18" s="17">
        <v>2.5530059999999999</v>
      </c>
      <c r="E18" s="17">
        <v>7.6294000586204307</v>
      </c>
      <c r="F18" s="16">
        <v>180.07948277442358</v>
      </c>
      <c r="G18" s="17">
        <v>30.192940640190113</v>
      </c>
      <c r="H18" s="17">
        <v>3.3099999999999996</v>
      </c>
    </row>
    <row r="19" spans="1:8">
      <c r="A19" s="21">
        <v>2021</v>
      </c>
      <c r="B19" s="21" t="s">
        <v>3</v>
      </c>
      <c r="C19" s="16">
        <v>373794</v>
      </c>
      <c r="D19" s="17">
        <v>0.278613</v>
      </c>
      <c r="E19" s="17">
        <v>0.83260675397253836</v>
      </c>
      <c r="F19" s="16">
        <v>1341.6244037428262</v>
      </c>
      <c r="G19" s="17">
        <v>-23.860157413890612</v>
      </c>
      <c r="H19" s="17">
        <v>6.17</v>
      </c>
    </row>
    <row r="20" spans="1:8">
      <c r="A20" s="21">
        <v>2022</v>
      </c>
      <c r="B20" s="21" t="s">
        <v>4</v>
      </c>
      <c r="C20" s="16">
        <v>532724.26861306408</v>
      </c>
      <c r="D20" s="17">
        <v>38.400602999999997</v>
      </c>
      <c r="E20" s="17">
        <v>94.271856961200783</v>
      </c>
      <c r="F20" s="25">
        <v>13.872809981995962</v>
      </c>
      <c r="G20" s="17">
        <v>36.632752051979146</v>
      </c>
      <c r="H20" s="17">
        <v>2.08</v>
      </c>
    </row>
    <row r="21" spans="1:8">
      <c r="A21" s="21">
        <v>2022</v>
      </c>
      <c r="B21" s="21" t="s">
        <v>2</v>
      </c>
      <c r="C21" s="16">
        <v>466705.94536019705</v>
      </c>
      <c r="D21" s="17">
        <v>2.0809470000000001</v>
      </c>
      <c r="E21" s="17">
        <v>5.1086369119734893</v>
      </c>
      <c r="F21" s="16">
        <v>224.27574818589665</v>
      </c>
      <c r="G21" s="17">
        <v>1.5143091286013619</v>
      </c>
      <c r="H21" s="17">
        <v>3.47</v>
      </c>
    </row>
    <row r="22" spans="1:8">
      <c r="A22" s="21">
        <v>2022</v>
      </c>
      <c r="B22" s="21" t="s">
        <v>3</v>
      </c>
      <c r="C22" s="16">
        <v>351818.742998156</v>
      </c>
      <c r="D22" s="17">
        <v>0.25234899999999999</v>
      </c>
      <c r="E22" s="17">
        <v>0.61950612682571826</v>
      </c>
      <c r="F22" s="16">
        <v>1394.1753008656899</v>
      </c>
      <c r="G22" s="17">
        <v>-5.8789753184492</v>
      </c>
      <c r="H22" s="17">
        <v>5.34</v>
      </c>
    </row>
    <row r="23" spans="1:8">
      <c r="A23" s="21">
        <v>2023</v>
      </c>
      <c r="B23" s="21" t="s">
        <v>4</v>
      </c>
      <c r="C23" s="3">
        <v>662360.92547436594</v>
      </c>
      <c r="D23" s="17">
        <v>23.523461999999999</v>
      </c>
      <c r="E23" s="5">
        <v>93.502601132208667</v>
      </c>
      <c r="F23" s="5">
        <v>28.157459368623801</v>
      </c>
      <c r="G23" s="5">
        <v>24.334663258125644</v>
      </c>
      <c r="H23" s="22">
        <v>2.6540600000000003</v>
      </c>
    </row>
    <row r="24" spans="1:8">
      <c r="A24" s="21">
        <v>2023</v>
      </c>
      <c r="B24" s="21" t="s">
        <v>2</v>
      </c>
      <c r="C24" s="3">
        <v>461108.70368066197</v>
      </c>
      <c r="D24" s="17">
        <v>1.420364</v>
      </c>
      <c r="E24" s="5">
        <v>5.6457560776788904</v>
      </c>
      <c r="F24" s="3">
        <v>324.64122132119792</v>
      </c>
      <c r="G24" s="5">
        <v>-1.1993079872199186</v>
      </c>
      <c r="H24" s="22">
        <v>4.2371600000000003</v>
      </c>
    </row>
    <row r="25" spans="1:8">
      <c r="A25" s="21">
        <v>2023</v>
      </c>
      <c r="B25" s="21" t="s">
        <v>3</v>
      </c>
      <c r="C25" s="3">
        <v>336694.59643091197</v>
      </c>
      <c r="D25" s="17">
        <v>0.214257</v>
      </c>
      <c r="E25" s="5">
        <v>0.85164279011242616</v>
      </c>
      <c r="F25" s="3">
        <v>1571.4520245822166</v>
      </c>
      <c r="G25" s="5">
        <v>-4.2988461724233078</v>
      </c>
      <c r="H25" s="22">
        <v>5.0518200000000002</v>
      </c>
    </row>
    <row r="26" spans="1:8">
      <c r="A26" s="21">
        <v>2024</v>
      </c>
      <c r="B26" s="21" t="s">
        <v>4</v>
      </c>
      <c r="C26" s="3">
        <v>670516.85710324498</v>
      </c>
      <c r="D26" s="17">
        <v>22.334498</v>
      </c>
      <c r="E26" s="5">
        <v>93.086635492883445</v>
      </c>
      <c r="F26" s="5">
        <v>30.021577252519624</v>
      </c>
      <c r="G26" s="5">
        <v>9.2829082991156611</v>
      </c>
      <c r="H26" s="26">
        <v>3.237927365</v>
      </c>
    </row>
    <row r="27" spans="1:8">
      <c r="A27" s="21">
        <v>2024</v>
      </c>
      <c r="B27" s="21" t="s">
        <v>2</v>
      </c>
      <c r="C27" s="3">
        <v>466898.45564705401</v>
      </c>
      <c r="D27" s="17">
        <v>1.4524619999999999</v>
      </c>
      <c r="E27" s="5">
        <v>6.0536306104244861</v>
      </c>
      <c r="F27" s="3">
        <v>321.45312968398071</v>
      </c>
      <c r="G27" s="5">
        <v>4.9411380574924531</v>
      </c>
      <c r="H27" s="26">
        <v>4.9201553969000003</v>
      </c>
    </row>
    <row r="28" spans="1:8">
      <c r="A28" s="21">
        <v>2024</v>
      </c>
      <c r="B28" s="21" t="s">
        <v>3</v>
      </c>
      <c r="C28" s="3">
        <v>335186.86317431001</v>
      </c>
      <c r="D28" s="17">
        <v>0.20627799999999999</v>
      </c>
      <c r="E28" s="5">
        <v>0.85973389669205957</v>
      </c>
      <c r="F28" s="3">
        <v>1624.9278312486549</v>
      </c>
      <c r="G28" s="5">
        <v>4.8223181008592633</v>
      </c>
      <c r="H28" s="26">
        <v>5.4277226035000004</v>
      </c>
    </row>
    <row r="29" spans="1:8">
      <c r="A29" s="1"/>
    </row>
    <row r="30" spans="1:8">
      <c r="A30" s="1"/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EC210-5EC9-4127-B0D0-4AEF70C53E2E}">
  <dimension ref="A1:G91"/>
  <sheetViews>
    <sheetView workbookViewId="0">
      <selection activeCell="A2" sqref="A2:A10"/>
    </sheetView>
  </sheetViews>
  <sheetFormatPr defaultRowHeight="14.5"/>
  <cols>
    <col min="1" max="1" width="21.1796875" customWidth="1"/>
    <col min="2" max="2" width="67.26953125" bestFit="1" customWidth="1"/>
    <col min="3" max="3" width="25.26953125" customWidth="1"/>
    <col min="4" max="4" width="15.26953125" customWidth="1"/>
    <col min="5" max="5" width="10.90625" customWidth="1"/>
    <col min="7" max="7" width="10.1796875" bestFit="1" customWidth="1"/>
  </cols>
  <sheetData>
    <row r="1" spans="1:5" ht="42.5">
      <c r="A1" s="6" t="s">
        <v>0</v>
      </c>
      <c r="B1" s="7" t="s">
        <v>25</v>
      </c>
      <c r="C1" s="8" t="s">
        <v>11</v>
      </c>
      <c r="D1" s="8" t="s">
        <v>12</v>
      </c>
      <c r="E1" s="9" t="s">
        <v>13</v>
      </c>
    </row>
    <row r="2" spans="1:5">
      <c r="A2" s="21">
        <v>2016</v>
      </c>
      <c r="B2" s="18" t="s">
        <v>16</v>
      </c>
      <c r="C2" s="3">
        <v>451755</v>
      </c>
      <c r="D2" s="4">
        <v>9.4534776383023598</v>
      </c>
      <c r="E2" s="10">
        <v>2.56</v>
      </c>
    </row>
    <row r="3" spans="1:5">
      <c r="A3" s="21">
        <v>2016</v>
      </c>
      <c r="B3" s="18" t="s">
        <v>17</v>
      </c>
      <c r="C3" s="3">
        <v>87895</v>
      </c>
      <c r="D3" s="4">
        <v>10.680870890156523</v>
      </c>
      <c r="E3" s="11">
        <v>0.93</v>
      </c>
    </row>
    <row r="4" spans="1:5">
      <c r="A4" s="21">
        <v>2016</v>
      </c>
      <c r="B4" s="18" t="s">
        <v>18</v>
      </c>
      <c r="C4" s="3">
        <v>70339</v>
      </c>
      <c r="D4" s="4">
        <v>9.5896173501184094</v>
      </c>
      <c r="E4" s="10">
        <v>3.98</v>
      </c>
    </row>
    <row r="5" spans="1:5">
      <c r="A5" s="21">
        <v>2016</v>
      </c>
      <c r="B5" s="18" t="s">
        <v>19</v>
      </c>
      <c r="C5" s="3">
        <v>29461</v>
      </c>
      <c r="D5" s="4">
        <v>2.2028724068549224</v>
      </c>
      <c r="E5" s="10">
        <v>5.38</v>
      </c>
    </row>
    <row r="6" spans="1:5">
      <c r="A6" s="21">
        <v>2016</v>
      </c>
      <c r="B6" s="18" t="s">
        <v>20</v>
      </c>
      <c r="C6" s="3">
        <v>19877</v>
      </c>
      <c r="D6" s="4">
        <v>-4.6803817196566442</v>
      </c>
      <c r="E6" s="10">
        <v>2.83</v>
      </c>
    </row>
    <row r="7" spans="1:5">
      <c r="A7" s="21">
        <v>2016</v>
      </c>
      <c r="B7" s="18" t="s">
        <v>21</v>
      </c>
      <c r="C7" s="3">
        <v>41905</v>
      </c>
      <c r="D7" s="4">
        <v>5.7299288489680578</v>
      </c>
      <c r="E7" s="10">
        <v>5.79</v>
      </c>
    </row>
    <row r="8" spans="1:5">
      <c r="A8" s="21">
        <v>2016</v>
      </c>
      <c r="B8" s="18" t="s">
        <v>22</v>
      </c>
      <c r="C8" s="3">
        <v>59263</v>
      </c>
      <c r="D8" s="4">
        <v>10.228033628450264</v>
      </c>
      <c r="E8" s="10">
        <v>4.05</v>
      </c>
    </row>
    <row r="9" spans="1:5">
      <c r="A9" s="21">
        <v>2016</v>
      </c>
      <c r="B9" s="18" t="s">
        <v>23</v>
      </c>
      <c r="C9" s="3">
        <v>3214</v>
      </c>
      <c r="D9" s="4">
        <v>24.525377760557923</v>
      </c>
      <c r="E9" s="10">
        <v>4.6500000000000004</v>
      </c>
    </row>
    <row r="10" spans="1:5">
      <c r="A10" s="21">
        <v>2016</v>
      </c>
      <c r="B10" s="18" t="s">
        <v>1</v>
      </c>
      <c r="C10" s="3">
        <v>32339</v>
      </c>
      <c r="D10" s="4">
        <v>18.618640648497966</v>
      </c>
      <c r="E10" s="10">
        <v>1.07</v>
      </c>
    </row>
    <row r="11" spans="1:5">
      <c r="A11" s="21">
        <v>2016</v>
      </c>
      <c r="B11" s="18" t="s">
        <v>24</v>
      </c>
      <c r="C11" s="3">
        <v>60950</v>
      </c>
      <c r="D11" s="4">
        <v>20.5</v>
      </c>
      <c r="E11" s="10">
        <v>11.129999999999999</v>
      </c>
    </row>
    <row r="12" spans="1:5">
      <c r="A12" s="21">
        <v>2017</v>
      </c>
      <c r="B12" s="18" t="s">
        <v>16</v>
      </c>
      <c r="C12" s="12">
        <v>482635.46600000001</v>
      </c>
      <c r="D12" s="5">
        <v>6.8356666777346158</v>
      </c>
      <c r="E12" s="10">
        <v>3.54</v>
      </c>
    </row>
    <row r="13" spans="1:5">
      <c r="A13" s="21">
        <v>2017</v>
      </c>
      <c r="B13" s="18" t="s">
        <v>17</v>
      </c>
      <c r="C13" s="12">
        <v>97164.807000000001</v>
      </c>
      <c r="D13" s="5">
        <v>10.546455429774163</v>
      </c>
      <c r="E13" s="11">
        <v>3.21</v>
      </c>
    </row>
    <row r="14" spans="1:5">
      <c r="A14" s="21">
        <v>2017</v>
      </c>
      <c r="B14" s="18" t="s">
        <v>18</v>
      </c>
      <c r="C14" s="12">
        <v>82794.462</v>
      </c>
      <c r="D14" s="5">
        <v>17.707760986081698</v>
      </c>
      <c r="E14" s="10">
        <v>2.93</v>
      </c>
    </row>
    <row r="15" spans="1:5">
      <c r="A15" s="21">
        <v>2017</v>
      </c>
      <c r="B15" s="18" t="s">
        <v>19</v>
      </c>
      <c r="C15" s="12">
        <v>33369.885000000002</v>
      </c>
      <c r="D15" s="5">
        <v>13.26799837072741</v>
      </c>
      <c r="E15" s="10">
        <v>9.39</v>
      </c>
    </row>
    <row r="16" spans="1:5">
      <c r="A16" s="21">
        <v>2017</v>
      </c>
      <c r="B16" s="18" t="s">
        <v>20</v>
      </c>
      <c r="C16" s="12">
        <v>20724.489000000001</v>
      </c>
      <c r="D16" s="5">
        <v>4.2636665492780672</v>
      </c>
      <c r="E16" s="10">
        <v>4.1100000000000003</v>
      </c>
    </row>
    <row r="17" spans="1:5">
      <c r="A17" s="21">
        <v>2017</v>
      </c>
      <c r="B17" s="18" t="s">
        <v>21</v>
      </c>
      <c r="C17" s="12">
        <v>46387.18</v>
      </c>
      <c r="D17" s="5">
        <v>10.696050590621645</v>
      </c>
      <c r="E17" s="10">
        <v>9.08</v>
      </c>
    </row>
    <row r="18" spans="1:5">
      <c r="A18" s="21">
        <v>2017</v>
      </c>
      <c r="B18" s="18" t="s">
        <v>22</v>
      </c>
      <c r="C18" s="12">
        <v>63594.22</v>
      </c>
      <c r="D18" s="5">
        <v>7.3084724026795831</v>
      </c>
      <c r="E18" s="10">
        <v>17.38</v>
      </c>
    </row>
    <row r="19" spans="1:5">
      <c r="A19" s="21">
        <v>2017</v>
      </c>
      <c r="B19" s="18" t="s">
        <v>23</v>
      </c>
      <c r="C19" s="12">
        <v>4174.6880000000001</v>
      </c>
      <c r="D19" s="5">
        <v>29.890728064716864</v>
      </c>
      <c r="E19" s="10">
        <v>13.61</v>
      </c>
    </row>
    <row r="20" spans="1:5">
      <c r="A20" s="21">
        <v>2017</v>
      </c>
      <c r="B20" s="18" t="s">
        <v>1</v>
      </c>
      <c r="C20" s="12">
        <v>34707.934999999998</v>
      </c>
      <c r="D20" s="5">
        <v>7.3253192739416733</v>
      </c>
      <c r="E20" s="10">
        <v>1.1299999999999999</v>
      </c>
    </row>
    <row r="21" spans="1:5">
      <c r="A21" s="21">
        <v>2017</v>
      </c>
      <c r="B21" s="18" t="s">
        <v>24</v>
      </c>
      <c r="C21" s="12">
        <v>76834.428</v>
      </c>
      <c r="D21" s="13">
        <f>((C21-C11)/C11)*100</f>
        <v>26.061407711238722</v>
      </c>
      <c r="E21" s="10">
        <v>12.68</v>
      </c>
    </row>
    <row r="22" spans="1:5">
      <c r="A22" s="21">
        <v>2018</v>
      </c>
      <c r="B22" s="18" t="s">
        <v>16</v>
      </c>
      <c r="C22" s="14">
        <v>518626.67700000003</v>
      </c>
      <c r="D22" s="5">
        <v>7.4572246623914724</v>
      </c>
      <c r="E22" s="10">
        <f>E8</f>
        <v>4.05</v>
      </c>
    </row>
    <row r="23" spans="1:5">
      <c r="A23" s="21">
        <v>2018</v>
      </c>
      <c r="B23" s="18" t="s">
        <v>17</v>
      </c>
      <c r="C23" s="14">
        <v>102663.012</v>
      </c>
      <c r="D23" s="5">
        <v>5.6586383174722945</v>
      </c>
      <c r="E23" s="11">
        <f>(E4)</f>
        <v>3.98</v>
      </c>
    </row>
    <row r="24" spans="1:5">
      <c r="A24" s="21">
        <v>2018</v>
      </c>
      <c r="B24" s="18" t="s">
        <v>18</v>
      </c>
      <c r="C24" s="14">
        <v>94110.388000000006</v>
      </c>
      <c r="D24" s="5">
        <v>13.667491431975254</v>
      </c>
      <c r="E24" s="10">
        <f>E2</f>
        <v>2.56</v>
      </c>
    </row>
    <row r="25" spans="1:5">
      <c r="A25" s="21">
        <v>2018</v>
      </c>
      <c r="B25" s="18" t="s">
        <v>19</v>
      </c>
      <c r="C25" s="14">
        <v>40023.961000000003</v>
      </c>
      <c r="D25" s="5">
        <v>19.940362395615089</v>
      </c>
      <c r="E25" s="10">
        <f>SUM(E9,E11)</f>
        <v>15.78</v>
      </c>
    </row>
    <row r="26" spans="1:5">
      <c r="A26" s="21">
        <v>2018</v>
      </c>
      <c r="B26" s="18" t="s">
        <v>20</v>
      </c>
      <c r="C26" s="14">
        <v>22755.137999999999</v>
      </c>
      <c r="D26" s="5">
        <v>9.7983067278522409</v>
      </c>
      <c r="E26" s="10">
        <f>E12</f>
        <v>3.54</v>
      </c>
    </row>
    <row r="27" spans="1:5">
      <c r="A27" s="21">
        <v>2018</v>
      </c>
      <c r="B27" s="18" t="s">
        <v>21</v>
      </c>
      <c r="C27" s="14">
        <v>52877.72</v>
      </c>
      <c r="D27" s="5">
        <v>13.9920986789885</v>
      </c>
      <c r="E27" s="10">
        <f>SUM(E13,E14)</f>
        <v>6.1400000000000006</v>
      </c>
    </row>
    <row r="28" spans="1:5">
      <c r="A28" s="21">
        <v>2018</v>
      </c>
      <c r="B28" s="18" t="s">
        <v>22</v>
      </c>
      <c r="C28" s="14">
        <v>78986.357000000004</v>
      </c>
      <c r="D28" s="5">
        <v>24.203672912412483</v>
      </c>
      <c r="E28" s="10">
        <f>SUM(E3,E7)</f>
        <v>6.72</v>
      </c>
    </row>
    <row r="29" spans="1:5">
      <c r="A29" s="21">
        <v>2018</v>
      </c>
      <c r="B29" s="18" t="s">
        <v>23</v>
      </c>
      <c r="C29" s="14">
        <v>4725.5479999999998</v>
      </c>
      <c r="D29" s="5">
        <v>13.195237584221855</v>
      </c>
      <c r="E29" s="10">
        <f>SUM(E5,E6)</f>
        <v>8.2100000000000009</v>
      </c>
    </row>
    <row r="30" spans="1:5">
      <c r="A30" s="21">
        <v>2018</v>
      </c>
      <c r="B30" s="18" t="s">
        <v>1</v>
      </c>
      <c r="C30" s="14">
        <v>39253.141000000003</v>
      </c>
      <c r="D30" s="5">
        <v>13.095581745211881</v>
      </c>
      <c r="E30" s="10">
        <f>E10</f>
        <v>1.07</v>
      </c>
    </row>
    <row r="31" spans="1:5">
      <c r="A31" s="21">
        <v>2018</v>
      </c>
      <c r="B31" s="18" t="s">
        <v>24</v>
      </c>
      <c r="C31" s="14">
        <v>78620.993999999948</v>
      </c>
      <c r="D31" s="13">
        <f>((C31-C21)/C21)*100</f>
        <v>2.325215462006105</v>
      </c>
      <c r="E31" s="10">
        <f>SUM(E15,E16,E17,E18,)</f>
        <v>39.959999999999994</v>
      </c>
    </row>
    <row r="32" spans="1:5">
      <c r="A32" s="21">
        <v>2019</v>
      </c>
      <c r="B32" s="18" t="s">
        <v>16</v>
      </c>
      <c r="C32" s="14">
        <v>548284.821</v>
      </c>
      <c r="D32" s="5">
        <v>5.7185920654058391</v>
      </c>
      <c r="E32" s="10">
        <f>E18</f>
        <v>17.38</v>
      </c>
    </row>
    <row r="33" spans="1:5">
      <c r="A33" s="21">
        <v>2019</v>
      </c>
      <c r="B33" s="18" t="s">
        <v>17</v>
      </c>
      <c r="C33" s="14">
        <v>111405.641</v>
      </c>
      <c r="D33" s="5">
        <v>8.5158508694445878</v>
      </c>
      <c r="E33" s="11">
        <f>(E14)</f>
        <v>2.93</v>
      </c>
    </row>
    <row r="34" spans="1:5">
      <c r="A34" s="21">
        <v>2019</v>
      </c>
      <c r="B34" s="18" t="s">
        <v>18</v>
      </c>
      <c r="C34" s="14">
        <v>109544.02099999999</v>
      </c>
      <c r="D34" s="5">
        <v>16.399499914929674</v>
      </c>
      <c r="E34" s="10">
        <f>E12</f>
        <v>3.54</v>
      </c>
    </row>
    <row r="35" spans="1:5">
      <c r="A35" s="21">
        <v>2019</v>
      </c>
      <c r="B35" s="18" t="s">
        <v>19</v>
      </c>
      <c r="C35" s="14">
        <v>44767.398000000001</v>
      </c>
      <c r="D35" s="5">
        <v>11.851493159310239</v>
      </c>
      <c r="E35" s="10">
        <f>SUM(E19,E21)</f>
        <v>26.29</v>
      </c>
    </row>
    <row r="36" spans="1:5">
      <c r="A36" s="21">
        <v>2019</v>
      </c>
      <c r="B36" s="18" t="s">
        <v>20</v>
      </c>
      <c r="C36" s="14">
        <v>20288.363000000001</v>
      </c>
      <c r="D36" s="5">
        <v>-10.840518743503107</v>
      </c>
      <c r="E36" s="10">
        <f>E22</f>
        <v>4.05</v>
      </c>
    </row>
    <row r="37" spans="1:5">
      <c r="A37" s="21">
        <v>2019</v>
      </c>
      <c r="B37" s="18" t="s">
        <v>21</v>
      </c>
      <c r="C37" s="14">
        <v>59047.459000000003</v>
      </c>
      <c r="D37" s="5">
        <v>11.667936892891753</v>
      </c>
      <c r="E37" s="10">
        <f>SUM(E23,E24)</f>
        <v>6.54</v>
      </c>
    </row>
    <row r="38" spans="1:5">
      <c r="A38" s="21">
        <v>2019</v>
      </c>
      <c r="B38" s="18" t="s">
        <v>22</v>
      </c>
      <c r="C38" s="14">
        <v>80583.035000000003</v>
      </c>
      <c r="D38" s="5">
        <v>2.0214604909554188</v>
      </c>
      <c r="E38" s="10">
        <f>SUM(E13,E17)</f>
        <v>12.29</v>
      </c>
    </row>
    <row r="39" spans="1:5">
      <c r="A39" s="21">
        <v>2019</v>
      </c>
      <c r="B39" s="18" t="s">
        <v>23</v>
      </c>
      <c r="C39" s="14">
        <v>6669.0119999999997</v>
      </c>
      <c r="D39" s="5">
        <v>41.126743395686596</v>
      </c>
      <c r="E39" s="10">
        <f>SUM(E15,E16)</f>
        <v>13.5</v>
      </c>
    </row>
    <row r="40" spans="1:5">
      <c r="A40" s="21">
        <v>2019</v>
      </c>
      <c r="B40" s="18" t="s">
        <v>1</v>
      </c>
      <c r="C40" s="14">
        <v>45137.553</v>
      </c>
      <c r="D40" s="5">
        <v>14.990932827515627</v>
      </c>
      <c r="E40" s="10">
        <f>E20</f>
        <v>1.1299999999999999</v>
      </c>
    </row>
    <row r="41" spans="1:5">
      <c r="A41" s="21">
        <v>2019</v>
      </c>
      <c r="B41" s="18" t="s">
        <v>24</v>
      </c>
      <c r="C41" s="14">
        <v>85612.480999999912</v>
      </c>
      <c r="D41" s="13">
        <f>((C41-C31)/C31)*100</f>
        <v>8.8926464094310091</v>
      </c>
      <c r="E41" s="10">
        <f>SUM(E25,E26,E27,E28,)</f>
        <v>32.18</v>
      </c>
    </row>
    <row r="42" spans="1:5">
      <c r="A42" s="21">
        <v>2020</v>
      </c>
      <c r="B42" s="18" t="s">
        <v>16</v>
      </c>
      <c r="C42" s="15">
        <v>530668.62300000002</v>
      </c>
      <c r="D42" s="5">
        <v>-3.2129647448328642</v>
      </c>
      <c r="E42" s="10">
        <f>E28</f>
        <v>6.72</v>
      </c>
    </row>
    <row r="43" spans="1:5">
      <c r="A43" s="21">
        <v>2020</v>
      </c>
      <c r="B43" s="18" t="s">
        <v>17</v>
      </c>
      <c r="C43" s="15">
        <v>112600.944</v>
      </c>
      <c r="D43" s="5">
        <v>1.0729286140905558</v>
      </c>
      <c r="E43" s="11">
        <f>(E24)</f>
        <v>2.56</v>
      </c>
    </row>
    <row r="44" spans="1:5">
      <c r="A44" s="21">
        <v>2020</v>
      </c>
      <c r="B44" s="18" t="s">
        <v>18</v>
      </c>
      <c r="C44" s="15">
        <v>130011.61900000001</v>
      </c>
      <c r="D44" s="5">
        <v>18.684358866103715</v>
      </c>
      <c r="E44" s="10">
        <f>E22</f>
        <v>4.05</v>
      </c>
    </row>
    <row r="45" spans="1:5">
      <c r="A45" s="21">
        <v>2020</v>
      </c>
      <c r="B45" s="18" t="s">
        <v>19</v>
      </c>
      <c r="C45" s="15">
        <v>42710.368000000002</v>
      </c>
      <c r="D45" s="5">
        <v>-4.5949286576807493</v>
      </c>
      <c r="E45" s="10">
        <f>SUM(E29,E31)</f>
        <v>48.169999999999995</v>
      </c>
    </row>
    <row r="46" spans="1:5">
      <c r="A46" s="21">
        <v>2020</v>
      </c>
      <c r="B46" s="18" t="s">
        <v>20</v>
      </c>
      <c r="C46" s="15">
        <v>15040.9</v>
      </c>
      <c r="D46" s="5">
        <v>-25.864398226707603</v>
      </c>
      <c r="E46" s="10">
        <f>E32</f>
        <v>17.38</v>
      </c>
    </row>
    <row r="47" spans="1:5">
      <c r="A47" s="21">
        <v>2020</v>
      </c>
      <c r="B47" s="18" t="s">
        <v>21</v>
      </c>
      <c r="C47" s="15">
        <v>50672.012999999999</v>
      </c>
      <c r="D47" s="5">
        <v>-14.184261510728181</v>
      </c>
      <c r="E47" s="10">
        <f>SUM(E33,E34)</f>
        <v>6.4700000000000006</v>
      </c>
    </row>
    <row r="48" spans="1:5">
      <c r="A48" s="21">
        <v>2020</v>
      </c>
      <c r="B48" s="18" t="s">
        <v>22</v>
      </c>
      <c r="C48" s="15">
        <v>67202.718999999997</v>
      </c>
      <c r="D48" s="5">
        <v>-16.604383292339392</v>
      </c>
      <c r="E48" s="10">
        <f>SUM(E23,E27)</f>
        <v>10.120000000000001</v>
      </c>
    </row>
    <row r="49" spans="1:5">
      <c r="A49" s="21">
        <v>2020</v>
      </c>
      <c r="B49" s="18" t="s">
        <v>23</v>
      </c>
      <c r="C49" s="15">
        <v>4039.4290000000001</v>
      </c>
      <c r="D49" s="5">
        <v>-39.429873570477902</v>
      </c>
      <c r="E49" s="10">
        <f>SUM(E25,E26)</f>
        <v>19.32</v>
      </c>
    </row>
    <row r="50" spans="1:5">
      <c r="A50" s="21">
        <v>2020</v>
      </c>
      <c r="B50" s="18" t="s">
        <v>1</v>
      </c>
      <c r="C50" s="15">
        <v>50622.987000000001</v>
      </c>
      <c r="D50" s="5">
        <v>12.152705752569265</v>
      </c>
      <c r="E50" s="10">
        <f>E30</f>
        <v>1.07</v>
      </c>
    </row>
    <row r="51" spans="1:5">
      <c r="A51" s="21">
        <v>2020</v>
      </c>
      <c r="B51" s="18" t="s">
        <v>24</v>
      </c>
      <c r="C51" s="15">
        <v>87662.776999999885</v>
      </c>
      <c r="D51" s="13">
        <f>((C51-C41)/C41)*100</f>
        <v>2.3948564228619595</v>
      </c>
      <c r="E51" s="10">
        <f>SUM(E35,E36,E37,E38,)</f>
        <v>49.17</v>
      </c>
    </row>
    <row r="52" spans="1:5">
      <c r="A52" s="21">
        <v>2021</v>
      </c>
      <c r="B52" s="18" t="s">
        <v>16</v>
      </c>
      <c r="C52" s="16">
        <v>601408</v>
      </c>
      <c r="D52" s="17">
        <v>13.330235467869366</v>
      </c>
      <c r="E52" s="10">
        <f>E38</f>
        <v>12.29</v>
      </c>
    </row>
    <row r="53" spans="1:5">
      <c r="A53" s="21">
        <v>2021</v>
      </c>
      <c r="B53" s="18" t="s">
        <v>17</v>
      </c>
      <c r="C53" s="16">
        <v>128136</v>
      </c>
      <c r="D53" s="17">
        <v>13.79655928994698</v>
      </c>
      <c r="E53" s="11">
        <f>(E34)</f>
        <v>3.54</v>
      </c>
    </row>
    <row r="54" spans="1:5">
      <c r="A54" s="21">
        <v>2021</v>
      </c>
      <c r="B54" s="18" t="s">
        <v>18</v>
      </c>
      <c r="C54" s="16">
        <v>161456</v>
      </c>
      <c r="D54" s="17">
        <v>24.1858237301083</v>
      </c>
      <c r="E54" s="10">
        <f>E32</f>
        <v>17.38</v>
      </c>
    </row>
    <row r="55" spans="1:5">
      <c r="A55" s="21">
        <v>2021</v>
      </c>
      <c r="B55" s="18" t="s">
        <v>19</v>
      </c>
      <c r="C55" s="16">
        <v>41876</v>
      </c>
      <c r="D55" s="17">
        <v>-1.9535490773575217</v>
      </c>
      <c r="E55" s="10">
        <f>SUM(E39,E41)</f>
        <v>45.68</v>
      </c>
    </row>
    <row r="56" spans="1:5">
      <c r="A56" s="21">
        <v>2021</v>
      </c>
      <c r="B56" s="18" t="s">
        <v>20</v>
      </c>
      <c r="C56" s="16">
        <v>12385</v>
      </c>
      <c r="D56" s="17">
        <v>-17.657852921035307</v>
      </c>
      <c r="E56" s="10">
        <f>E42</f>
        <v>6.72</v>
      </c>
    </row>
    <row r="57" spans="1:5">
      <c r="A57" s="21">
        <v>2021</v>
      </c>
      <c r="B57" s="18" t="s">
        <v>21</v>
      </c>
      <c r="C57" s="16">
        <v>48490</v>
      </c>
      <c r="D57" s="17">
        <v>-4.3061502214249892</v>
      </c>
      <c r="E57" s="10">
        <f>SUM(E43,E44)</f>
        <v>6.6099999999999994</v>
      </c>
    </row>
    <row r="58" spans="1:5">
      <c r="A58" s="21">
        <v>2021</v>
      </c>
      <c r="B58" s="18" t="s">
        <v>22</v>
      </c>
      <c r="C58" s="16">
        <v>66552</v>
      </c>
      <c r="D58" s="17">
        <v>-0.96829266684878823</v>
      </c>
      <c r="E58" s="10">
        <f>SUM(E33,E37)</f>
        <v>9.4700000000000006</v>
      </c>
    </row>
    <row r="59" spans="1:5">
      <c r="A59" s="21">
        <v>2021</v>
      </c>
      <c r="B59" s="18" t="s">
        <v>23</v>
      </c>
      <c r="C59" s="16">
        <v>3808</v>
      </c>
      <c r="D59" s="17">
        <v>-5.7292503470168699</v>
      </c>
      <c r="E59" s="10">
        <f>SUM(E35,E36)</f>
        <v>30.34</v>
      </c>
    </row>
    <row r="60" spans="1:5">
      <c r="A60" s="21">
        <v>2021</v>
      </c>
      <c r="B60" s="18" t="s">
        <v>1</v>
      </c>
      <c r="C60" s="16">
        <v>58603</v>
      </c>
      <c r="D60" s="17">
        <v>15.763615450032608</v>
      </c>
      <c r="E60" s="10">
        <f>E40</f>
        <v>1.1299999999999999</v>
      </c>
    </row>
    <row r="61" spans="1:5">
      <c r="A61" s="21">
        <v>2021</v>
      </c>
      <c r="B61" s="18" t="s">
        <v>24</v>
      </c>
      <c r="C61" s="16">
        <v>100719</v>
      </c>
      <c r="D61" s="13">
        <f>((C61-C51)/C51)*100</f>
        <v>14.893690853530833</v>
      </c>
      <c r="E61" s="10">
        <f>SUM(E45,E46,E47,E48,)</f>
        <v>82.14</v>
      </c>
    </row>
    <row r="62" spans="1:5">
      <c r="A62" s="21">
        <v>2022</v>
      </c>
      <c r="B62" s="18" t="s">
        <v>16</v>
      </c>
      <c r="C62" s="16">
        <v>656431.33086988097</v>
      </c>
      <c r="D62" s="17">
        <v>9.1490852914961174</v>
      </c>
      <c r="E62" s="10">
        <f>E48</f>
        <v>10.120000000000001</v>
      </c>
    </row>
    <row r="63" spans="1:5">
      <c r="A63" s="21">
        <v>2022</v>
      </c>
      <c r="B63" s="18" t="s">
        <v>17</v>
      </c>
      <c r="C63" s="16">
        <v>135618.91160997999</v>
      </c>
      <c r="D63" s="17">
        <v>5.8398198866672812</v>
      </c>
      <c r="E63" s="11">
        <f>(E44)</f>
        <v>4.05</v>
      </c>
    </row>
    <row r="64" spans="1:5">
      <c r="A64" s="21">
        <v>2022</v>
      </c>
      <c r="B64" s="18" t="s">
        <v>18</v>
      </c>
      <c r="C64" s="16">
        <v>214198.49353935401</v>
      </c>
      <c r="D64" s="17">
        <v>32.666790667026312</v>
      </c>
      <c r="E64" s="10">
        <f>E42</f>
        <v>6.72</v>
      </c>
    </row>
    <row r="65" spans="1:7">
      <c r="A65" s="21">
        <v>2022</v>
      </c>
      <c r="B65" s="18" t="s">
        <v>19</v>
      </c>
      <c r="C65" s="16">
        <v>45267.568785345</v>
      </c>
      <c r="D65" s="17">
        <v>8.0990753303682297</v>
      </c>
      <c r="E65" s="10">
        <f>SUM(E49,E51)</f>
        <v>68.490000000000009</v>
      </c>
    </row>
    <row r="66" spans="1:7">
      <c r="A66" s="21">
        <v>2022</v>
      </c>
      <c r="B66" s="18" t="s">
        <v>20</v>
      </c>
      <c r="C66" s="16">
        <v>13257.344924826999</v>
      </c>
      <c r="D66" s="17">
        <v>7.0435601520145257</v>
      </c>
      <c r="E66" s="10">
        <f>E52</f>
        <v>12.29</v>
      </c>
    </row>
    <row r="67" spans="1:7">
      <c r="A67" s="21">
        <v>2022</v>
      </c>
      <c r="B67" s="18" t="s">
        <v>21</v>
      </c>
      <c r="C67" s="16">
        <v>51023.565479732999</v>
      </c>
      <c r="D67" s="17">
        <v>5.2249236538110928</v>
      </c>
      <c r="E67" s="10">
        <f>SUM(E53,E54)</f>
        <v>20.919999999999998</v>
      </c>
    </row>
    <row r="68" spans="1:7">
      <c r="A68" s="21">
        <v>2022</v>
      </c>
      <c r="B68" s="18" t="s">
        <v>22</v>
      </c>
      <c r="C68" s="16">
        <v>59343.594892665998</v>
      </c>
      <c r="D68" s="17">
        <v>-10.831237389310616</v>
      </c>
      <c r="E68" s="10">
        <f>SUM(E43,E47)</f>
        <v>9.0300000000000011</v>
      </c>
    </row>
    <row r="69" spans="1:7">
      <c r="A69" s="21">
        <v>2022</v>
      </c>
      <c r="B69" s="18" t="s">
        <v>23</v>
      </c>
      <c r="C69" s="16">
        <v>3565.2008990500003</v>
      </c>
      <c r="D69" s="17">
        <v>-6.3760268106617568</v>
      </c>
      <c r="E69" s="10">
        <f>SUM(E45,E46)</f>
        <v>65.55</v>
      </c>
    </row>
    <row r="70" spans="1:7">
      <c r="A70" s="21">
        <v>2022</v>
      </c>
      <c r="B70" s="18" t="s">
        <v>1</v>
      </c>
      <c r="C70" s="16">
        <v>61393.248847026</v>
      </c>
      <c r="D70" s="17">
        <v>4.7612730526184661</v>
      </c>
      <c r="E70" s="10">
        <f>E50</f>
        <v>1.07</v>
      </c>
    </row>
    <row r="71" spans="1:7">
      <c r="A71" s="21">
        <v>2022</v>
      </c>
      <c r="B71" s="18" t="s">
        <v>24</v>
      </c>
      <c r="C71" s="16">
        <v>111149.697123555</v>
      </c>
      <c r="D71" s="13">
        <f>((C71-C61)/C61)*100</f>
        <v>10.356235788237573</v>
      </c>
      <c r="E71" s="10">
        <f>SUM(E55,E56,E57,E58,)</f>
        <v>68.48</v>
      </c>
    </row>
    <row r="72" spans="1:7">
      <c r="A72" s="21">
        <v>2023</v>
      </c>
      <c r="B72" s="18" t="s">
        <v>16</v>
      </c>
      <c r="C72" s="14">
        <v>686505.34135395393</v>
      </c>
      <c r="D72" s="5">
        <v>4.5814404446874715</v>
      </c>
      <c r="E72" s="10">
        <f>E58</f>
        <v>9.4700000000000006</v>
      </c>
    </row>
    <row r="73" spans="1:7">
      <c r="A73" s="21">
        <v>2023</v>
      </c>
      <c r="B73" s="18" t="s">
        <v>17</v>
      </c>
      <c r="C73" s="14">
        <v>145212.37650780397</v>
      </c>
      <c r="D73" s="5">
        <v>7.0738400595732385</v>
      </c>
      <c r="E73" s="11">
        <f>(E54)</f>
        <v>17.38</v>
      </c>
    </row>
    <row r="74" spans="1:7">
      <c r="A74" s="21">
        <v>2023</v>
      </c>
      <c r="B74" s="18" t="s">
        <v>18</v>
      </c>
      <c r="C74" s="14">
        <v>244970.43922853298</v>
      </c>
      <c r="D74" s="5">
        <v>14.366088752872272</v>
      </c>
      <c r="E74" s="10">
        <f>E52</f>
        <v>12.29</v>
      </c>
    </row>
    <row r="75" spans="1:7">
      <c r="A75" s="21">
        <v>2023</v>
      </c>
      <c r="B75" s="18" t="s">
        <v>19</v>
      </c>
      <c r="C75" s="14">
        <v>52193.832339689005</v>
      </c>
      <c r="D75" s="5">
        <v>15.300719124518844</v>
      </c>
      <c r="E75" s="10">
        <f>SUM(E59,E61)</f>
        <v>112.48</v>
      </c>
    </row>
    <row r="76" spans="1:7">
      <c r="A76" s="21">
        <v>2023</v>
      </c>
      <c r="B76" s="18" t="s">
        <v>20</v>
      </c>
      <c r="C76" s="14">
        <v>16690.498402698999</v>
      </c>
      <c r="D76" s="5">
        <v>25.896237122432719</v>
      </c>
      <c r="E76" s="10">
        <f>E62</f>
        <v>10.120000000000001</v>
      </c>
      <c r="G76" s="28"/>
    </row>
    <row r="77" spans="1:7">
      <c r="A77" s="21">
        <v>2023</v>
      </c>
      <c r="B77" s="18" t="s">
        <v>21</v>
      </c>
      <c r="C77" s="14">
        <v>54499.874090213998</v>
      </c>
      <c r="D77" s="5">
        <v>6.8131432560545369</v>
      </c>
      <c r="E77" s="10">
        <f>SUM(E63,E64)</f>
        <v>10.77</v>
      </c>
    </row>
    <row r="78" spans="1:7">
      <c r="A78" s="21">
        <v>2023</v>
      </c>
      <c r="B78" s="18" t="s">
        <v>22</v>
      </c>
      <c r="C78" s="14">
        <v>62622.516651337995</v>
      </c>
      <c r="D78" s="5">
        <v>5.5253170364932238</v>
      </c>
      <c r="E78" s="10">
        <f>SUM(E53,E57)</f>
        <v>10.149999999999999</v>
      </c>
    </row>
    <row r="79" spans="1:7">
      <c r="A79" s="21">
        <v>2023</v>
      </c>
      <c r="B79" s="18" t="s">
        <v>23</v>
      </c>
      <c r="C79" s="14">
        <v>4399.8294506390002</v>
      </c>
      <c r="D79" s="5">
        <v>23.410421326085686</v>
      </c>
      <c r="E79" s="10">
        <f>SUM(E55,E56)</f>
        <v>52.4</v>
      </c>
    </row>
    <row r="80" spans="1:7">
      <c r="A80" s="21">
        <v>2023</v>
      </c>
      <c r="B80" s="18" t="s">
        <v>1</v>
      </c>
      <c r="C80" s="14">
        <v>67097.284108866996</v>
      </c>
      <c r="D80" s="5">
        <v>9.2909812869714425</v>
      </c>
      <c r="E80" s="10">
        <f>E60</f>
        <v>1.1299999999999999</v>
      </c>
    </row>
    <row r="81" spans="1:7">
      <c r="A81" s="21">
        <v>2023</v>
      </c>
      <c r="B81" s="18" t="s">
        <v>24</v>
      </c>
      <c r="C81" s="14">
        <v>125972.233452203</v>
      </c>
      <c r="D81" s="13">
        <f>((C81-C71)/C71)*100</f>
        <v>13.33565156922662</v>
      </c>
      <c r="E81" s="10">
        <f>SUM(E65,E66,E67,E68,)</f>
        <v>110.73</v>
      </c>
    </row>
    <row r="82" spans="1:7">
      <c r="A82" s="21">
        <v>2024</v>
      </c>
      <c r="B82" s="18" t="s">
        <v>16</v>
      </c>
      <c r="C82" s="14">
        <v>684784.18961111805</v>
      </c>
      <c r="D82" s="5">
        <v>3.2639729494760226</v>
      </c>
      <c r="E82" s="10">
        <f>E68</f>
        <v>9.0300000000000011</v>
      </c>
    </row>
    <row r="83" spans="1:7">
      <c r="A83" s="21">
        <v>2024</v>
      </c>
      <c r="B83" s="18" t="s">
        <v>17</v>
      </c>
      <c r="C83" s="14">
        <v>146689.06096081101</v>
      </c>
      <c r="D83" s="5">
        <v>5.3799013165152534</v>
      </c>
      <c r="E83" s="11">
        <f>(E64)</f>
        <v>6.72</v>
      </c>
    </row>
    <row r="84" spans="1:7">
      <c r="A84" s="21">
        <v>2024</v>
      </c>
      <c r="B84" s="18" t="s">
        <v>18</v>
      </c>
      <c r="C84" s="14">
        <v>251902.033640699</v>
      </c>
      <c r="D84" s="5">
        <v>12.282619781879719</v>
      </c>
      <c r="E84" s="10">
        <f>E62</f>
        <v>10.120000000000001</v>
      </c>
    </row>
    <row r="85" spans="1:7">
      <c r="A85" s="21">
        <v>2024</v>
      </c>
      <c r="B85" s="18" t="s">
        <v>19</v>
      </c>
      <c r="C85" s="14">
        <v>53934.499474090997</v>
      </c>
      <c r="D85" s="5">
        <v>13.276382240632184</v>
      </c>
      <c r="E85" s="10">
        <f>SUM(E69,E71)</f>
        <v>134.03</v>
      </c>
    </row>
    <row r="86" spans="1:7">
      <c r="A86" s="21">
        <v>2024</v>
      </c>
      <c r="B86" s="18" t="s">
        <v>20</v>
      </c>
      <c r="C86" s="14">
        <v>16928.019295457001</v>
      </c>
      <c r="D86" s="5">
        <v>37.309629527662857</v>
      </c>
      <c r="E86" s="10">
        <f>E72</f>
        <v>9.4700000000000006</v>
      </c>
    </row>
    <row r="87" spans="1:7">
      <c r="A87" s="21">
        <v>2024</v>
      </c>
      <c r="B87" s="18" t="s">
        <v>21</v>
      </c>
      <c r="C87" s="14">
        <v>56220.519437322</v>
      </c>
      <c r="D87" s="5">
        <v>10.849298936838007</v>
      </c>
      <c r="E87" s="10">
        <f>SUM(E73,E74)</f>
        <v>29.669999999999998</v>
      </c>
    </row>
    <row r="88" spans="1:7">
      <c r="A88" s="21">
        <v>2024</v>
      </c>
      <c r="B88" s="18" t="s">
        <v>22</v>
      </c>
      <c r="C88" s="14">
        <v>60394.969956255998</v>
      </c>
      <c r="D88" s="5">
        <v>1.9060654423613033</v>
      </c>
      <c r="E88" s="10">
        <f>SUM(E63,E67)</f>
        <v>24.97</v>
      </c>
    </row>
    <row r="89" spans="1:7">
      <c r="A89" s="21">
        <v>2024</v>
      </c>
      <c r="B89" s="18" t="s">
        <v>23</v>
      </c>
      <c r="C89" s="14">
        <v>4928.9720441150002</v>
      </c>
      <c r="D89" s="5">
        <v>46.977954353300397</v>
      </c>
      <c r="E89" s="10">
        <f>SUM(E65,E66)</f>
        <v>80.78</v>
      </c>
    </row>
    <row r="90" spans="1:7">
      <c r="A90" s="21">
        <v>2024</v>
      </c>
      <c r="B90" s="18" t="s">
        <v>1</v>
      </c>
      <c r="C90" s="14">
        <v>68110.692863297998</v>
      </c>
      <c r="D90" s="5">
        <v>8.4564938281701565</v>
      </c>
      <c r="E90" s="10">
        <f>E70</f>
        <v>1.07</v>
      </c>
    </row>
    <row r="91" spans="1:7">
      <c r="A91" s="21">
        <v>2024</v>
      </c>
      <c r="B91" s="18" t="s">
        <v>24</v>
      </c>
      <c r="C91" s="14">
        <v>128709.218641442</v>
      </c>
      <c r="D91" s="13">
        <f>((C91-C81)/C81)*100</f>
        <v>2.1726892619376157</v>
      </c>
      <c r="E91" s="10">
        <f>SUM(E75,E76,E77,E78,)</f>
        <v>143.52000000000001</v>
      </c>
      <c r="G91" s="27"/>
    </row>
  </sheetData>
  <autoFilter ref="A1:E91" xr:uid="{5B1EC210-5EC9-4127-B0D0-4AEF70C53E2E}"/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F03D1-196F-4EB1-BBDE-CEBAF120CD77}">
  <dimension ref="A1:B10"/>
  <sheetViews>
    <sheetView workbookViewId="0">
      <selection activeCell="B6" sqref="A1:B10"/>
    </sheetView>
  </sheetViews>
  <sheetFormatPr defaultRowHeight="14.5"/>
  <cols>
    <col min="1" max="1" width="13.54296875" customWidth="1"/>
    <col min="2" max="2" width="11.90625" customWidth="1"/>
  </cols>
  <sheetData>
    <row r="1" spans="1:2">
      <c r="A1" s="40" t="s">
        <v>0</v>
      </c>
      <c r="B1" s="40" t="s">
        <v>14</v>
      </c>
    </row>
    <row r="2" spans="1:2">
      <c r="A2" s="40">
        <v>2016</v>
      </c>
      <c r="B2" s="41">
        <v>3.02</v>
      </c>
    </row>
    <row r="3" spans="1:2">
      <c r="A3" s="40">
        <v>2017</v>
      </c>
      <c r="B3" s="41">
        <v>3.61</v>
      </c>
    </row>
    <row r="4" spans="1:2">
      <c r="A4" s="40">
        <v>2018</v>
      </c>
      <c r="B4" s="41">
        <v>3.1</v>
      </c>
    </row>
    <row r="5" spans="1:2">
      <c r="A5" s="40">
        <v>2019</v>
      </c>
      <c r="B5" s="41">
        <v>2.7</v>
      </c>
    </row>
    <row r="6" spans="1:2">
      <c r="A6" s="40">
        <v>2020</v>
      </c>
      <c r="B6" s="41">
        <v>1.7</v>
      </c>
    </row>
    <row r="7" spans="1:2">
      <c r="A7" s="40">
        <v>2021</v>
      </c>
      <c r="B7" s="41">
        <v>1.9</v>
      </c>
    </row>
    <row r="8" spans="1:2">
      <c r="A8" s="40">
        <v>2022</v>
      </c>
      <c r="B8" s="41">
        <v>5.5</v>
      </c>
    </row>
    <row r="9" spans="1:2">
      <c r="A9" s="40">
        <v>2023</v>
      </c>
      <c r="B9" s="41">
        <v>2.6</v>
      </c>
    </row>
    <row r="10" spans="1:2">
      <c r="A10" s="40">
        <v>2024</v>
      </c>
      <c r="B10" s="41">
        <v>2.5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451E-B1B5-499C-8698-39EA54573BB9}">
  <dimension ref="A1:E55"/>
  <sheetViews>
    <sheetView workbookViewId="0">
      <selection activeCell="D3" sqref="D3"/>
    </sheetView>
  </sheetViews>
  <sheetFormatPr defaultRowHeight="14.5"/>
  <cols>
    <col min="1" max="1" width="5.1796875" bestFit="1" customWidth="1"/>
    <col min="2" max="2" width="17.81640625" bestFit="1" customWidth="1"/>
    <col min="3" max="3" width="16.453125" customWidth="1"/>
    <col min="4" max="4" width="35.7265625" customWidth="1"/>
    <col min="5" max="5" width="13.26953125" customWidth="1"/>
  </cols>
  <sheetData>
    <row r="1" spans="1:5" s="29" customFormat="1" ht="42">
      <c r="A1" s="8" t="s">
        <v>0</v>
      </c>
      <c r="B1" s="8" t="s">
        <v>26</v>
      </c>
      <c r="C1" s="8" t="s">
        <v>33</v>
      </c>
      <c r="D1" s="8" t="s">
        <v>35</v>
      </c>
      <c r="E1" s="8" t="s">
        <v>34</v>
      </c>
    </row>
    <row r="2" spans="1:5">
      <c r="A2" s="21">
        <v>2016</v>
      </c>
      <c r="B2" s="21" t="s">
        <v>27</v>
      </c>
      <c r="C2" s="30">
        <v>27022</v>
      </c>
      <c r="D2" s="31">
        <v>4.0957E-2</v>
      </c>
      <c r="E2" s="31">
        <v>39.305300000000003</v>
      </c>
    </row>
    <row r="3" spans="1:5">
      <c r="A3" s="21">
        <v>2016</v>
      </c>
      <c r="B3" s="21" t="s">
        <v>28</v>
      </c>
      <c r="C3" s="30">
        <v>75168</v>
      </c>
      <c r="D3" s="31">
        <v>1.1525669999999999</v>
      </c>
      <c r="E3" s="30">
        <v>109.8831</v>
      </c>
    </row>
    <row r="4" spans="1:5">
      <c r="A4" s="21">
        <v>2016</v>
      </c>
      <c r="B4" s="21" t="s">
        <v>29</v>
      </c>
      <c r="C4" s="30">
        <v>6582</v>
      </c>
      <c r="D4" s="31">
        <v>2.4230000000000002E-2</v>
      </c>
      <c r="E4" s="31">
        <v>9.9793000000000003</v>
      </c>
    </row>
    <row r="5" spans="1:5">
      <c r="A5" s="21">
        <v>2016</v>
      </c>
      <c r="B5" s="21" t="s">
        <v>30</v>
      </c>
      <c r="C5" s="30">
        <v>8245</v>
      </c>
      <c r="D5" s="31">
        <v>1.7010000000000001E-2</v>
      </c>
      <c r="E5" s="31">
        <v>11.1479</v>
      </c>
    </row>
    <row r="6" spans="1:5">
      <c r="A6" s="21">
        <v>2016</v>
      </c>
      <c r="B6" s="21" t="s">
        <v>31</v>
      </c>
      <c r="C6" s="30">
        <v>12361</v>
      </c>
      <c r="D6" s="31">
        <v>1.2090999999999999E-2</v>
      </c>
      <c r="E6" s="31">
        <v>13.471399999999999</v>
      </c>
    </row>
    <row r="7" spans="1:5">
      <c r="A7" s="21">
        <v>2016</v>
      </c>
      <c r="B7" s="21" t="s">
        <v>32</v>
      </c>
      <c r="C7" s="30">
        <v>4433</v>
      </c>
      <c r="D7" s="31">
        <v>4.8099999999999998E-4</v>
      </c>
      <c r="E7" s="31">
        <v>4.7935999999999996</v>
      </c>
    </row>
    <row r="8" spans="1:5">
      <c r="A8" s="21">
        <v>2017</v>
      </c>
      <c r="B8" s="21" t="s">
        <v>27</v>
      </c>
      <c r="C8" s="32">
        <v>33962</v>
      </c>
      <c r="D8" s="23">
        <v>8.8830000000000006E-2</v>
      </c>
      <c r="E8" s="23">
        <v>40.029800000000002</v>
      </c>
    </row>
    <row r="9" spans="1:5">
      <c r="A9" s="21">
        <v>2017</v>
      </c>
      <c r="B9" s="21" t="s">
        <v>28</v>
      </c>
      <c r="C9" s="32">
        <v>135015</v>
      </c>
      <c r="D9" s="23">
        <v>1.2903709999999999</v>
      </c>
      <c r="E9" s="32">
        <v>111.3796</v>
      </c>
    </row>
    <row r="10" spans="1:5">
      <c r="A10" s="21">
        <v>2017</v>
      </c>
      <c r="B10" s="21" t="s">
        <v>29</v>
      </c>
      <c r="C10" s="32">
        <v>6384</v>
      </c>
      <c r="D10" s="23">
        <v>2.8832E-2</v>
      </c>
      <c r="E10" s="23">
        <v>10.178699999999999</v>
      </c>
    </row>
    <row r="11" spans="1:5">
      <c r="A11" s="21">
        <v>2017</v>
      </c>
      <c r="B11" s="21" t="s">
        <v>30</v>
      </c>
      <c r="C11" s="32">
        <v>11811</v>
      </c>
      <c r="D11" s="23">
        <v>2.6745000000000001E-2</v>
      </c>
      <c r="E11" s="23">
        <v>11.4009</v>
      </c>
    </row>
    <row r="12" spans="1:5">
      <c r="A12" s="21">
        <v>2017</v>
      </c>
      <c r="B12" s="21" t="s">
        <v>31</v>
      </c>
      <c r="C12" s="32">
        <v>14216</v>
      </c>
      <c r="D12" s="23">
        <v>2.0698999999999999E-2</v>
      </c>
      <c r="E12" s="23">
        <v>13.6945</v>
      </c>
    </row>
    <row r="13" spans="1:5">
      <c r="A13" s="21">
        <v>2017</v>
      </c>
      <c r="B13" s="21" t="s">
        <v>32</v>
      </c>
      <c r="C13" s="32">
        <v>3572</v>
      </c>
      <c r="D13" s="23">
        <v>1.176E-3</v>
      </c>
      <c r="E13" s="23">
        <v>4.9108000000000001</v>
      </c>
    </row>
    <row r="14" spans="1:5">
      <c r="A14" s="21">
        <v>2018</v>
      </c>
      <c r="B14" s="21" t="s">
        <v>27</v>
      </c>
      <c r="C14" s="33">
        <v>67606</v>
      </c>
      <c r="D14" s="34">
        <v>0.27133699999999999</v>
      </c>
      <c r="E14" s="34">
        <v>40.750500000000002</v>
      </c>
    </row>
    <row r="15" spans="1:5">
      <c r="A15" s="21">
        <v>2018</v>
      </c>
      <c r="B15" s="21" t="s">
        <v>28</v>
      </c>
      <c r="C15" s="33">
        <v>245442</v>
      </c>
      <c r="D15" s="34">
        <v>10.700319</v>
      </c>
      <c r="E15" s="33">
        <v>112.8366</v>
      </c>
    </row>
    <row r="16" spans="1:5">
      <c r="A16" s="21">
        <v>2018</v>
      </c>
      <c r="B16" s="21" t="s">
        <v>29</v>
      </c>
      <c r="C16" s="33">
        <v>16173</v>
      </c>
      <c r="D16" s="34">
        <v>8.1733E-2</v>
      </c>
      <c r="E16" s="34">
        <v>10.350300000000001</v>
      </c>
    </row>
    <row r="17" spans="1:5">
      <c r="A17" s="21">
        <v>2018</v>
      </c>
      <c r="B17" s="21" t="s">
        <v>30</v>
      </c>
      <c r="C17" s="33">
        <v>21126</v>
      </c>
      <c r="D17" s="34">
        <v>4.9651000000000001E-2</v>
      </c>
      <c r="E17" s="34">
        <v>11.6525</v>
      </c>
    </row>
    <row r="18" spans="1:5">
      <c r="A18" s="21">
        <v>2018</v>
      </c>
      <c r="B18" s="21" t="s">
        <v>31</v>
      </c>
      <c r="C18" s="33">
        <v>29033</v>
      </c>
      <c r="D18" s="34">
        <v>0.10432</v>
      </c>
      <c r="E18" s="34">
        <v>13.911</v>
      </c>
    </row>
    <row r="19" spans="1:5">
      <c r="A19" s="21">
        <v>2018</v>
      </c>
      <c r="B19" s="21" t="s">
        <v>32</v>
      </c>
      <c r="C19" s="33">
        <v>5778</v>
      </c>
      <c r="D19" s="34">
        <v>2.9408E-2</v>
      </c>
      <c r="E19" s="34">
        <v>5.0275999999999996</v>
      </c>
    </row>
    <row r="20" spans="1:5">
      <c r="A20" s="21">
        <v>2019</v>
      </c>
      <c r="B20" s="21" t="s">
        <v>27</v>
      </c>
      <c r="C20" s="33">
        <v>92066</v>
      </c>
      <c r="D20" s="35">
        <v>1.3108850000000001</v>
      </c>
      <c r="E20" s="35">
        <v>41.471600000000002</v>
      </c>
    </row>
    <row r="21" spans="1:5">
      <c r="A21" s="21">
        <v>2019</v>
      </c>
      <c r="B21" s="21" t="s">
        <v>28</v>
      </c>
      <c r="C21" s="33">
        <v>316619</v>
      </c>
      <c r="D21" s="35">
        <v>53.187645000000003</v>
      </c>
      <c r="E21" s="36">
        <v>114.27169999999998</v>
      </c>
    </row>
    <row r="22" spans="1:5">
      <c r="A22" s="21">
        <v>2019</v>
      </c>
      <c r="B22" s="21" t="s">
        <v>29</v>
      </c>
      <c r="C22" s="33">
        <v>20084</v>
      </c>
      <c r="D22" s="35">
        <v>0.20175299999999999</v>
      </c>
      <c r="E22" s="35">
        <v>10.523099999999999</v>
      </c>
    </row>
    <row r="23" spans="1:5">
      <c r="A23" s="21">
        <v>2019</v>
      </c>
      <c r="B23" s="21" t="s">
        <v>30</v>
      </c>
      <c r="C23" s="3">
        <v>25547</v>
      </c>
      <c r="D23" s="23">
        <v>0.35746299999999998</v>
      </c>
      <c r="E23" s="35">
        <v>11.9039</v>
      </c>
    </row>
    <row r="24" spans="1:5">
      <c r="A24" s="21">
        <v>2019</v>
      </c>
      <c r="B24" s="21" t="s">
        <v>31</v>
      </c>
      <c r="C24" s="32">
        <v>40131</v>
      </c>
      <c r="D24" s="23">
        <v>0.54274299999999998</v>
      </c>
      <c r="E24" s="35">
        <v>14.1248</v>
      </c>
    </row>
    <row r="25" spans="1:5">
      <c r="A25" s="21">
        <v>2019</v>
      </c>
      <c r="B25" s="21" t="s">
        <v>32</v>
      </c>
      <c r="C25" s="32">
        <v>8996</v>
      </c>
      <c r="D25" s="35">
        <v>0.10584399999999999</v>
      </c>
      <c r="E25" s="22">
        <v>5.3249000000000004</v>
      </c>
    </row>
    <row r="26" spans="1:5">
      <c r="A26" s="21">
        <v>2020</v>
      </c>
      <c r="B26" s="21" t="s">
        <v>27</v>
      </c>
      <c r="C26" s="37">
        <v>115333</v>
      </c>
      <c r="D26" s="35">
        <v>0.183724</v>
      </c>
      <c r="E26" s="38">
        <v>39.780359999999995</v>
      </c>
    </row>
    <row r="27" spans="1:5">
      <c r="A27" s="21">
        <v>2020</v>
      </c>
      <c r="B27" s="21" t="s">
        <v>28</v>
      </c>
      <c r="C27" s="37">
        <v>357953</v>
      </c>
      <c r="D27" s="35">
        <v>14.325881000000001</v>
      </c>
      <c r="E27" s="38">
        <v>106.05163</v>
      </c>
    </row>
    <row r="28" spans="1:5">
      <c r="A28" s="21">
        <v>2020</v>
      </c>
      <c r="B28" s="21" t="s">
        <v>29</v>
      </c>
      <c r="C28" s="24">
        <v>29986</v>
      </c>
      <c r="D28" s="23">
        <v>8.4713999999999998E-2</v>
      </c>
      <c r="E28" s="38">
        <v>10.00834</v>
      </c>
    </row>
    <row r="29" spans="1:5">
      <c r="A29" s="21">
        <v>2020</v>
      </c>
      <c r="B29" s="21" t="s">
        <v>30</v>
      </c>
      <c r="C29" s="24">
        <v>35789</v>
      </c>
      <c r="D29" s="23">
        <v>5.9202999999999999E-2</v>
      </c>
      <c r="E29" s="38">
        <v>11.496919999999999</v>
      </c>
    </row>
    <row r="30" spans="1:5">
      <c r="A30" s="21">
        <v>2020</v>
      </c>
      <c r="B30" s="21" t="s">
        <v>31</v>
      </c>
      <c r="C30" s="24">
        <v>51577</v>
      </c>
      <c r="D30" s="35">
        <v>0.111483</v>
      </c>
      <c r="E30" s="38">
        <v>13.527990000000001</v>
      </c>
    </row>
    <row r="31" spans="1:5">
      <c r="A31" s="21">
        <v>2020</v>
      </c>
      <c r="B31" s="21" t="s">
        <v>32</v>
      </c>
      <c r="C31" s="37">
        <v>13217</v>
      </c>
      <c r="D31" s="35">
        <v>2.8958999999999999E-2</v>
      </c>
      <c r="E31" s="38">
        <v>5.9090600000000002</v>
      </c>
    </row>
    <row r="32" spans="1:5">
      <c r="A32" s="21">
        <v>2021</v>
      </c>
      <c r="B32" s="21" t="s">
        <v>27</v>
      </c>
      <c r="C32" s="33">
        <v>169697</v>
      </c>
      <c r="D32" s="35">
        <v>0.39579900000000001</v>
      </c>
      <c r="E32" s="35">
        <v>40.323280000000004</v>
      </c>
    </row>
    <row r="33" spans="1:5">
      <c r="A33" s="21">
        <v>2021</v>
      </c>
      <c r="B33" s="21" t="s">
        <v>28</v>
      </c>
      <c r="C33" s="33">
        <v>475725</v>
      </c>
      <c r="D33" s="35">
        <v>25.264154999999999</v>
      </c>
      <c r="E33" s="35">
        <v>106.99275999999998</v>
      </c>
    </row>
    <row r="34" spans="1:5">
      <c r="A34" s="21">
        <v>2021</v>
      </c>
      <c r="B34" s="21" t="s">
        <v>29</v>
      </c>
      <c r="C34" s="33">
        <v>42365</v>
      </c>
      <c r="D34" s="35">
        <v>0.161077</v>
      </c>
      <c r="E34" s="35">
        <v>10.143240000000002</v>
      </c>
    </row>
    <row r="35" spans="1:5">
      <c r="A35" s="21">
        <v>2021</v>
      </c>
      <c r="B35" s="21" t="s">
        <v>30</v>
      </c>
      <c r="C35" s="33">
        <v>63350</v>
      </c>
      <c r="D35" s="35">
        <v>0.14686099999999999</v>
      </c>
      <c r="E35" s="35">
        <v>11.657759999999998</v>
      </c>
    </row>
    <row r="36" spans="1:5">
      <c r="A36" s="21">
        <v>2021</v>
      </c>
      <c r="B36" s="21" t="s">
        <v>31</v>
      </c>
      <c r="C36" s="33">
        <v>76736</v>
      </c>
      <c r="D36" s="35">
        <v>0.35062100000000002</v>
      </c>
      <c r="E36" s="35">
        <v>13.719659999999999</v>
      </c>
    </row>
    <row r="37" spans="1:5">
      <c r="A37" s="21">
        <v>2021</v>
      </c>
      <c r="B37" s="21" t="s">
        <v>32</v>
      </c>
      <c r="C37" s="33">
        <v>23301</v>
      </c>
      <c r="D37" s="35">
        <v>7.2238999999999998E-2</v>
      </c>
      <c r="E37" s="35">
        <v>5.9884300000000001</v>
      </c>
    </row>
    <row r="38" spans="1:5">
      <c r="A38" s="21">
        <v>2022</v>
      </c>
      <c r="B38" s="21" t="s">
        <v>27</v>
      </c>
      <c r="C38" s="33">
        <v>177496</v>
      </c>
      <c r="D38" s="35">
        <v>0.24388000000000001</v>
      </c>
      <c r="E38" s="35">
        <v>40.850720000000003</v>
      </c>
    </row>
    <row r="39" spans="1:5">
      <c r="A39" s="21">
        <v>2022</v>
      </c>
      <c r="B39" s="21" t="s">
        <v>28</v>
      </c>
      <c r="C39" s="33">
        <v>509089</v>
      </c>
      <c r="D39" s="35">
        <v>26.482081000000001</v>
      </c>
      <c r="E39" s="35">
        <v>107.87278000000001</v>
      </c>
    </row>
    <row r="40" spans="1:5">
      <c r="A40" s="21">
        <v>2022</v>
      </c>
      <c r="B40" s="21" t="s">
        <v>29</v>
      </c>
      <c r="C40" s="33">
        <v>44675</v>
      </c>
      <c r="D40" s="35">
        <v>5.1899000000000001E-2</v>
      </c>
      <c r="E40" s="35">
        <v>10.275270000000001</v>
      </c>
    </row>
    <row r="41" spans="1:5">
      <c r="A41" s="21">
        <v>2022</v>
      </c>
      <c r="B41" s="21" t="s">
        <v>30</v>
      </c>
      <c r="C41" s="33">
        <v>64417</v>
      </c>
      <c r="D41" s="35">
        <v>7.8287999999999996E-2</v>
      </c>
      <c r="E41" s="35">
        <v>11.820970000000001</v>
      </c>
    </row>
    <row r="42" spans="1:5">
      <c r="A42" s="21">
        <v>2022</v>
      </c>
      <c r="B42" s="21" t="s">
        <v>31</v>
      </c>
      <c r="C42" s="33">
        <v>84482</v>
      </c>
      <c r="D42" s="35">
        <v>0.119174</v>
      </c>
      <c r="E42" s="35">
        <v>13.907030000000001</v>
      </c>
    </row>
    <row r="43" spans="1:5">
      <c r="A43" s="21">
        <v>2022</v>
      </c>
      <c r="B43" s="21" t="s">
        <v>32</v>
      </c>
      <c r="C43" s="33">
        <v>25346</v>
      </c>
      <c r="D43" s="35">
        <v>1.5299E-2</v>
      </c>
      <c r="E43" s="35">
        <v>6.0649799999999994</v>
      </c>
    </row>
    <row r="44" spans="1:5">
      <c r="A44" s="21">
        <v>2023</v>
      </c>
      <c r="B44" s="21" t="s">
        <v>27</v>
      </c>
      <c r="C44" s="33">
        <v>180409</v>
      </c>
      <c r="D44" s="35">
        <v>0.19602800000000001</v>
      </c>
      <c r="E44" s="35">
        <v>41.36365</v>
      </c>
    </row>
    <row r="45" spans="1:5">
      <c r="A45" s="21">
        <v>2023</v>
      </c>
      <c r="B45" s="21" t="s">
        <v>28</v>
      </c>
      <c r="C45" s="33">
        <v>519165</v>
      </c>
      <c r="D45" s="35">
        <v>14.387988</v>
      </c>
      <c r="E45" s="35">
        <v>108.69546</v>
      </c>
    </row>
    <row r="46" spans="1:5">
      <c r="A46" s="21">
        <v>2023</v>
      </c>
      <c r="B46" s="21" t="s">
        <v>29</v>
      </c>
      <c r="C46" s="33">
        <v>45786</v>
      </c>
      <c r="D46" s="35">
        <v>3.2589E-2</v>
      </c>
      <c r="E46" s="35">
        <v>10.40521</v>
      </c>
    </row>
    <row r="47" spans="1:5">
      <c r="A47" s="21">
        <v>2023</v>
      </c>
      <c r="B47" s="21" t="s">
        <v>30</v>
      </c>
      <c r="C47" s="33">
        <v>65643</v>
      </c>
      <c r="D47" s="35">
        <v>7.0760000000000003E-2</v>
      </c>
      <c r="E47" s="35">
        <v>11.978540000000001</v>
      </c>
    </row>
    <row r="48" spans="1:5">
      <c r="A48" s="21">
        <v>2023</v>
      </c>
      <c r="B48" s="21" t="s">
        <v>31</v>
      </c>
      <c r="C48" s="33">
        <v>86215</v>
      </c>
      <c r="D48" s="35">
        <v>7.2663000000000005E-2</v>
      </c>
      <c r="E48" s="35">
        <v>14.08732</v>
      </c>
    </row>
    <row r="49" spans="1:5">
      <c r="A49" s="21">
        <v>2023</v>
      </c>
      <c r="B49" s="21" t="s">
        <v>32</v>
      </c>
      <c r="C49" s="33">
        <v>26141</v>
      </c>
      <c r="D49" s="35">
        <v>1.1995E-2</v>
      </c>
      <c r="E49" s="35">
        <v>6.1391599999999995</v>
      </c>
    </row>
    <row r="50" spans="1:5">
      <c r="A50" s="21">
        <v>2024</v>
      </c>
      <c r="B50" s="21" t="s">
        <v>27</v>
      </c>
      <c r="C50" s="39">
        <v>182604</v>
      </c>
      <c r="D50" s="26">
        <v>0.20407</v>
      </c>
      <c r="E50" s="31">
        <v>41.863229999999994</v>
      </c>
    </row>
    <row r="51" spans="1:5">
      <c r="A51" s="21">
        <v>2024</v>
      </c>
      <c r="B51" s="21" t="s">
        <v>28</v>
      </c>
      <c r="C51" s="39">
        <v>527214</v>
      </c>
      <c r="D51" s="26">
        <v>15.03403</v>
      </c>
      <c r="E51" s="31">
        <v>109.38605</v>
      </c>
    </row>
    <row r="52" spans="1:5">
      <c r="A52" s="21">
        <v>2024</v>
      </c>
      <c r="B52" s="21" t="s">
        <v>29</v>
      </c>
      <c r="C52" s="39">
        <v>46686</v>
      </c>
      <c r="D52" s="26">
        <v>3.4366000000000001E-2</v>
      </c>
      <c r="E52" s="31">
        <v>10.53402</v>
      </c>
    </row>
    <row r="53" spans="1:5">
      <c r="A53" s="21">
        <v>2024</v>
      </c>
      <c r="B53" s="21" t="s">
        <v>30</v>
      </c>
      <c r="C53" s="39">
        <v>66337</v>
      </c>
      <c r="D53" s="26">
        <v>7.4105000000000004E-2</v>
      </c>
      <c r="E53" s="31">
        <v>12.19909</v>
      </c>
    </row>
    <row r="54" spans="1:5">
      <c r="A54" s="21">
        <v>2024</v>
      </c>
      <c r="B54" s="21" t="s">
        <v>31</v>
      </c>
      <c r="C54" s="39">
        <v>87070</v>
      </c>
      <c r="D54" s="26">
        <v>7.6676999999999995E-2</v>
      </c>
      <c r="E54" s="22">
        <v>14.2569</v>
      </c>
    </row>
    <row r="55" spans="1:5">
      <c r="A55" s="21">
        <v>2024</v>
      </c>
      <c r="B55" s="21" t="s">
        <v>32</v>
      </c>
      <c r="C55" s="39">
        <v>26685</v>
      </c>
      <c r="D55" s="26">
        <v>1.2840000000000001E-2</v>
      </c>
      <c r="E55" s="22">
        <v>6.2113899999999997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Enterprises Classifications</vt:lpstr>
      <vt:lpstr>Industry Origin</vt:lpstr>
      <vt:lpstr>Inflation</vt:lpstr>
      <vt:lpstr>Financial Inclusion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Saldi s</dc:creator>
  <cp:lastModifiedBy>Saldi s</cp:lastModifiedBy>
  <dcterms:created xsi:type="dcterms:W3CDTF">2024-09-08T10:49:36Z</dcterms:created>
  <dcterms:modified xsi:type="dcterms:W3CDTF">2024-10-06T14:19:54Z</dcterms:modified>
</cp:coreProperties>
</file>